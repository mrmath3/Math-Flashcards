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rmath3/Documents/GitHub/Math-Flashcards/excel/"/>
    </mc:Choice>
  </mc:AlternateContent>
  <xr:revisionPtr revIDLastSave="0" documentId="13_ncr:1_{5F1DA83C-24EF-1542-A3DD-41EDF101CDE6}" xr6:coauthVersionLast="47" xr6:coauthVersionMax="47" xr10:uidLastSave="{00000000-0000-0000-0000-000000000000}"/>
  <bookViews>
    <workbookView xWindow="0" yWindow="660" windowWidth="29400" windowHeight="18460" activeTab="2" xr2:uid="{DB8C5BD4-B13A-AA46-9C13-196CEA47E358}"/>
  </bookViews>
  <sheets>
    <sheet name="cards_master" sheetId="1" r:id="rId1"/>
    <sheet name="export" sheetId="6" r:id="rId2"/>
    <sheet name="anki" sheetId="2" r:id="rId3"/>
    <sheet name="blooket" sheetId="3" r:id="rId4"/>
    <sheet name="quizlet" sheetId="4" r:id="rId5"/>
    <sheet name="gimkit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6" l="1" a="1"/>
  <c r="A4" i="6" s="1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35" i="2"/>
  <c r="A36" i="2"/>
  <c r="B36" i="2"/>
  <c r="A37" i="2"/>
  <c r="B37" i="2"/>
  <c r="A38" i="2"/>
  <c r="B38" i="2"/>
  <c r="A39" i="2"/>
  <c r="B39" i="2"/>
  <c r="A40" i="2"/>
  <c r="B40" i="2"/>
  <c r="A41" i="2"/>
  <c r="B41" i="2"/>
  <c r="A42" i="2"/>
  <c r="B42" i="2"/>
  <c r="A43" i="2"/>
  <c r="B43" i="2"/>
  <c r="A44" i="2"/>
  <c r="B44" i="2"/>
  <c r="A45" i="2"/>
  <c r="B45" i="2"/>
  <c r="A46" i="2"/>
  <c r="B46" i="2"/>
  <c r="A47" i="2"/>
  <c r="B47" i="2"/>
  <c r="A48" i="2"/>
  <c r="B48" i="2"/>
  <c r="A49" i="2"/>
  <c r="B49" i="2"/>
  <c r="A50" i="2"/>
  <c r="B50" i="2"/>
  <c r="A51" i="2"/>
  <c r="B51" i="2"/>
  <c r="A52" i="2"/>
  <c r="B52" i="2"/>
  <c r="A53" i="2"/>
  <c r="B53" i="2"/>
  <c r="A54" i="2"/>
  <c r="B54" i="2"/>
  <c r="A55" i="2"/>
  <c r="B55" i="2"/>
  <c r="A56" i="2"/>
  <c r="B56" i="2"/>
  <c r="A57" i="2"/>
  <c r="B57" i="2"/>
  <c r="A58" i="2"/>
  <c r="B58" i="2"/>
  <c r="A59" i="2"/>
  <c r="B59" i="2"/>
  <c r="A60" i="2"/>
  <c r="B60" i="2"/>
  <c r="A61" i="2"/>
  <c r="B61" i="2"/>
  <c r="A62" i="2"/>
  <c r="B62" i="2"/>
  <c r="A63" i="2"/>
  <c r="B63" i="2"/>
  <c r="A64" i="2"/>
  <c r="B64" i="2"/>
  <c r="A65" i="2"/>
  <c r="B65" i="2"/>
  <c r="A66" i="2"/>
  <c r="B66" i="2"/>
  <c r="A67" i="2"/>
  <c r="B67" i="2"/>
  <c r="A68" i="2"/>
  <c r="B68" i="2"/>
  <c r="A69" i="2"/>
  <c r="B69" i="2"/>
  <c r="A70" i="2"/>
  <c r="B70" i="2"/>
  <c r="A71" i="2"/>
  <c r="B71" i="2"/>
  <c r="A72" i="2"/>
  <c r="B72" i="2"/>
  <c r="A73" i="2"/>
  <c r="B73" i="2"/>
  <c r="A74" i="2"/>
  <c r="B74" i="2"/>
  <c r="A35" i="2"/>
  <c r="B35" i="2"/>
  <c r="B1" i="2"/>
  <c r="C34" i="2"/>
  <c r="C32" i="2"/>
  <c r="C27" i="2"/>
  <c r="C26" i="2"/>
  <c r="C24" i="2"/>
  <c r="C19" i="2"/>
  <c r="C18" i="2"/>
  <c r="C16" i="2"/>
  <c r="C11" i="2"/>
  <c r="C10" i="2"/>
  <c r="C8" i="2"/>
  <c r="C3" i="2"/>
  <c r="C2" i="2"/>
  <c r="C5" i="2"/>
  <c r="C6" i="2"/>
  <c r="C7" i="2"/>
  <c r="C9" i="2"/>
  <c r="C13" i="2"/>
  <c r="C14" i="2"/>
  <c r="C15" i="2"/>
  <c r="C17" i="2"/>
  <c r="C21" i="2"/>
  <c r="C22" i="2"/>
  <c r="C23" i="2"/>
  <c r="C25" i="2"/>
  <c r="C29" i="2"/>
  <c r="C30" i="2"/>
  <c r="C31" i="2"/>
  <c r="C33" i="2"/>
  <c r="C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C28" i="2" l="1"/>
  <c r="C20" i="2"/>
  <c r="C12" i="2"/>
  <c r="C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<sst xmlns="http://schemas.openxmlformats.org/spreadsheetml/2006/main" count="369" uniqueCount="170">
  <si>
    <t>deck</t>
  </si>
  <si>
    <t>question</t>
  </si>
  <si>
    <t>answer</t>
  </si>
  <si>
    <t>distractor 1</t>
  </si>
  <si>
    <t>distractor 2</t>
  </si>
  <si>
    <t>distractor 3</t>
  </si>
  <si>
    <t>$1$</t>
  </si>
  <si>
    <t>$0$</t>
  </si>
  <si>
    <t>$-1$</t>
  </si>
  <si>
    <t>$\frac{1}{2}$</t>
  </si>
  <si>
    <t>$-\frac{1}{2}$</t>
  </si>
  <si>
    <t>$\cos\left(\frac{\pi}{4}\right)$</t>
  </si>
  <si>
    <t>$\cos\left(\frac{\pi}{3}\right)$</t>
  </si>
  <si>
    <t>$\cos\left(\frac{\pi}{2}\right)$</t>
  </si>
  <si>
    <t>$\cos\left(\frac{2\pi}{3}\right)$</t>
  </si>
  <si>
    <t>$\cos\left(\frac{3\pi}{4}\right)$</t>
  </si>
  <si>
    <t>$\cos\left(\frac{5\pi}{6}\right)$</t>
  </si>
  <si>
    <t>$\cos(\pi)$</t>
  </si>
  <si>
    <t>$\cos\left(\frac{7\pi}{6}\right)$</t>
  </si>
  <si>
    <t>$\cos\left(\frac{5\pi}{4}\right)$</t>
  </si>
  <si>
    <t>$\cos\left(\frac{4\pi}{3}\right)$</t>
  </si>
  <si>
    <t>$\cos\left(\frac{3\pi}{2}\right)$</t>
  </si>
  <si>
    <t>$\cos\left(\frac{5\pi}{3}\right)$</t>
  </si>
  <si>
    <t>$\cos\left(\frac{7\pi}{4}\right)$</t>
  </si>
  <si>
    <t>$\cos\left(\frac{11\pi}{6}\right)$</t>
  </si>
  <si>
    <t>$\cos(2\pi)$</t>
  </si>
  <si>
    <t>$\sin(0)$</t>
  </si>
  <si>
    <t>$\sin\left(\frac{\pi}{6}\right)$</t>
  </si>
  <si>
    <t>$\sin\left(\frac{\pi}{4}\right)$</t>
  </si>
  <si>
    <t>$\sin\left(\frac{\pi}{3}\right)$</t>
  </si>
  <si>
    <t>$\sin\left(\frac{\pi}{2}\right)$</t>
  </si>
  <si>
    <t>$\sin\left(\frac{2\pi}{3}\right)$</t>
  </si>
  <si>
    <t>$\sin\left(\frac{3\pi}{4}\right)$</t>
  </si>
  <si>
    <t>$\sin\left(\frac{5\pi}{6}\right)$</t>
  </si>
  <si>
    <t>$\sin(\pi)$</t>
  </si>
  <si>
    <t>$\sin\left(\frac{7\pi}{6}\right)$</t>
  </si>
  <si>
    <t>$\sin\left(\frac{5\pi}{4}\right)$</t>
  </si>
  <si>
    <t>$\sin\left(\frac{4\pi}{3}\right)$</t>
  </si>
  <si>
    <t>$\sin\left(\frac{3\pi}{2}\right)$</t>
  </si>
  <si>
    <t>$\sin\left(\frac{5\pi}{3}\right)$</t>
  </si>
  <si>
    <t>$\sin\left(\frac{7\pi}{4}\right)$</t>
  </si>
  <si>
    <t>$\sin\left(\frac{11\pi}{6}\right)$</t>
  </si>
  <si>
    <t>$\sin(2\pi)$</t>
  </si>
  <si>
    <t>ID</t>
  </si>
  <si>
    <t>cos_rad_01</t>
  </si>
  <si>
    <t>cos_rad_02</t>
  </si>
  <si>
    <t>cos_rad_03</t>
  </si>
  <si>
    <t>cos_rad_04</t>
  </si>
  <si>
    <t>cos_rad_05</t>
  </si>
  <si>
    <t>cos_rad_06</t>
  </si>
  <si>
    <t>cos_rad_07</t>
  </si>
  <si>
    <t>cos_rad_08</t>
  </si>
  <si>
    <t>cos_rad_09</t>
  </si>
  <si>
    <t>cos_rad_10</t>
  </si>
  <si>
    <t>cos_rad_11</t>
  </si>
  <si>
    <t>cos_rad_12</t>
  </si>
  <si>
    <t>cos_rad_13</t>
  </si>
  <si>
    <t>cos_rad_14</t>
  </si>
  <si>
    <t>cos_rad_15</t>
  </si>
  <si>
    <t>cos_rad_16</t>
  </si>
  <si>
    <t>cos_rad_17</t>
  </si>
  <si>
    <t>sin_rad_01</t>
  </si>
  <si>
    <t>sin_rad_02</t>
  </si>
  <si>
    <t>sin_rad_03</t>
  </si>
  <si>
    <t>sin_rad_04</t>
  </si>
  <si>
    <t>sin_rad_05</t>
  </si>
  <si>
    <t>sin_rad_06</t>
  </si>
  <si>
    <t>sin_rad_07</t>
  </si>
  <si>
    <t>sin_rad_08</t>
  </si>
  <si>
    <t>sin_rad_09</t>
  </si>
  <si>
    <t>sin_rad_10</t>
  </si>
  <si>
    <t>sin_rad_11</t>
  </si>
  <si>
    <t>sin_rad_12</t>
  </si>
  <si>
    <t>sin_rad_13</t>
  </si>
  <si>
    <t>sin_rad_14</t>
  </si>
  <si>
    <t>sin_rad_15</t>
  </si>
  <si>
    <t>sin_rad_16</t>
  </si>
  <si>
    <t>sin_rad_17</t>
  </si>
  <si>
    <t>$\frac{\sqrt3}{2}$</t>
  </si>
  <si>
    <t>$\frac{\sqrt2}{2}$</t>
  </si>
  <si>
    <t>$-\frac{\sqrt3}{2}$</t>
  </si>
  <si>
    <t>$-\frac{\sqrt2}{2}$</t>
  </si>
  <si>
    <t>trig values sin cos radians</t>
  </si>
  <si>
    <t>\cos(0)</t>
  </si>
  <si>
    <t>\cos\left(\frac{\pi}{6}\right)</t>
  </si>
  <si>
    <t>1^2</t>
  </si>
  <si>
    <t>2^2</t>
  </si>
  <si>
    <t>3^2</t>
  </si>
  <si>
    <t>4^2</t>
  </si>
  <si>
    <t>5^2</t>
  </si>
  <si>
    <t>6^2</t>
  </si>
  <si>
    <t>7^2</t>
  </si>
  <si>
    <t>8^2</t>
  </si>
  <si>
    <t>9^2</t>
  </si>
  <si>
    <t>10^2</t>
  </si>
  <si>
    <t>11^2</t>
  </si>
  <si>
    <t>12^2</t>
  </si>
  <si>
    <t>13^2</t>
  </si>
  <si>
    <t>14^2</t>
  </si>
  <si>
    <t>15^2</t>
  </si>
  <si>
    <t>16^2</t>
  </si>
  <si>
    <t>17^2</t>
  </si>
  <si>
    <t>18^2</t>
  </si>
  <si>
    <t>19^2</t>
  </si>
  <si>
    <t>20^2</t>
  </si>
  <si>
    <t>sqrt(1)</t>
  </si>
  <si>
    <t>sqrt(4)</t>
  </si>
  <si>
    <t>sqrt(9)</t>
  </si>
  <si>
    <t>sqrt(16)</t>
  </si>
  <si>
    <t>sqrt(25)</t>
  </si>
  <si>
    <t>sqrt(36)</t>
  </si>
  <si>
    <t>sqrt(49)</t>
  </si>
  <si>
    <t>sqrt(64)</t>
  </si>
  <si>
    <t>sqrt(81)</t>
  </si>
  <si>
    <t>sqrt(100)</t>
  </si>
  <si>
    <t>sqrt(121)</t>
  </si>
  <si>
    <t>sqrt(144)</t>
  </si>
  <si>
    <t>sqrt(169)</t>
  </si>
  <si>
    <t>sqrt(196)</t>
  </si>
  <si>
    <t>sqrt(225)</t>
  </si>
  <si>
    <t>sqrt(256)</t>
  </si>
  <si>
    <t>sqrt(289)</t>
  </si>
  <si>
    <t>sqrt(324)</t>
  </si>
  <si>
    <t>sqrt(361)</t>
  </si>
  <si>
    <t>sqrt(400)</t>
  </si>
  <si>
    <t>square_1</t>
  </si>
  <si>
    <t>square_2</t>
  </si>
  <si>
    <t>square_3</t>
  </si>
  <si>
    <t>square_4</t>
  </si>
  <si>
    <t>square_5</t>
  </si>
  <si>
    <t>square_6</t>
  </si>
  <si>
    <t>square_7</t>
  </si>
  <si>
    <t>square_8</t>
  </si>
  <si>
    <t>square_9</t>
  </si>
  <si>
    <t>square_10</t>
  </si>
  <si>
    <t>square_11</t>
  </si>
  <si>
    <t>square_12</t>
  </si>
  <si>
    <t>square_13</t>
  </si>
  <si>
    <t>square_14</t>
  </si>
  <si>
    <t>square_15</t>
  </si>
  <si>
    <t>square_16</t>
  </si>
  <si>
    <t>square_17</t>
  </si>
  <si>
    <t>square_18</t>
  </si>
  <si>
    <t>square_19</t>
  </si>
  <si>
    <t>square_20</t>
  </si>
  <si>
    <t>sqrt_1</t>
  </si>
  <si>
    <t>sqrt_2</t>
  </si>
  <si>
    <t>sqrt_3</t>
  </si>
  <si>
    <t>sqrt_4</t>
  </si>
  <si>
    <t>sqrt_5</t>
  </si>
  <si>
    <t>sqrt_6</t>
  </si>
  <si>
    <t>sqrt_7</t>
  </si>
  <si>
    <t>sqrt_8</t>
  </si>
  <si>
    <t>sqrt_9</t>
  </si>
  <si>
    <t>sqrt_10</t>
  </si>
  <si>
    <t>sqrt_11</t>
  </si>
  <si>
    <t>sqrt_12</t>
  </si>
  <si>
    <t>sqrt_13</t>
  </si>
  <si>
    <t>sqrt_14</t>
  </si>
  <si>
    <t>sqrt_15</t>
  </si>
  <si>
    <t>sqrt_16</t>
  </si>
  <si>
    <t>sqrt_17</t>
  </si>
  <si>
    <t>sqrt_18</t>
  </si>
  <si>
    <t>sqrt_19</t>
  </si>
  <si>
    <t>sqrt_20</t>
  </si>
  <si>
    <t>squares and square roots</t>
  </si>
  <si>
    <t>Topic:</t>
  </si>
  <si>
    <t>Tab:</t>
  </si>
  <si>
    <t>squares_and_roots</t>
  </si>
  <si>
    <t>anki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</si>
</sst>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C7E2C-9CA0-AA49-8CE9-EFA3FDD48945}">
  <dimension ref="A1:G75"/>
  <sheetViews>
    <sheetView topLeftCell="A46" workbookViewId="0">
      <selection activeCell="B36" sqref="B36:B75"/>
    </sheetView>
  </sheetViews>
  <sheetFormatPr baseColWidth="10" defaultRowHeight="16" x14ac:dyDescent="0.2"/>
  <cols>
    <col min="2" max="7" width="37" customWidth="1"/>
    <col min="8" max="8" width="10.5" bestFit="1" customWidth="1"/>
    <col min="9" max="9" width="11.33203125" bestFit="1" customWidth="1"/>
    <col min="10" max="10" width="16" bestFit="1" customWidth="1"/>
    <col min="11" max="11" width="20" bestFit="1" customWidth="1"/>
    <col min="12" max="12" width="11.83203125" bestFit="1" customWidth="1"/>
    <col min="13" max="13" width="14" bestFit="1" customWidth="1"/>
    <col min="14" max="14" width="14.83203125" bestFit="1" customWidth="1"/>
    <col min="15" max="15" width="19.6640625" bestFit="1" customWidth="1"/>
    <col min="16" max="16" width="23.6640625" bestFit="1" customWidth="1"/>
    <col min="17" max="17" width="14" bestFit="1" customWidth="1"/>
    <col min="18" max="18" width="14.83203125" bestFit="1" customWidth="1"/>
    <col min="19" max="19" width="19.6640625" bestFit="1" customWidth="1"/>
    <col min="20" max="20" width="23.6640625" bestFit="1" customWidth="1"/>
    <col min="21" max="21" width="14" bestFit="1" customWidth="1"/>
    <col min="22" max="22" width="14.83203125" bestFit="1" customWidth="1"/>
    <col min="23" max="23" width="19.6640625" bestFit="1" customWidth="1"/>
    <col min="24" max="24" width="23.6640625" bestFit="1" customWidth="1"/>
  </cols>
  <sheetData>
    <row r="1" spans="1:7" x14ac:dyDescent="0.2">
      <c r="A1" t="s">
        <v>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44</v>
      </c>
      <c r="B2" t="s">
        <v>82</v>
      </c>
      <c r="C2" s="1" t="s">
        <v>83</v>
      </c>
      <c r="D2" s="1" t="s">
        <v>6</v>
      </c>
      <c r="E2" s="1" t="s">
        <v>7</v>
      </c>
      <c r="F2" s="1" t="s">
        <v>8</v>
      </c>
      <c r="G2" s="1" t="s">
        <v>9</v>
      </c>
    </row>
    <row r="3" spans="1:7" x14ac:dyDescent="0.2">
      <c r="A3" t="s">
        <v>45</v>
      </c>
      <c r="B3" t="s">
        <v>82</v>
      </c>
      <c r="C3" s="1" t="s">
        <v>84</v>
      </c>
      <c r="D3" s="1" t="s">
        <v>78</v>
      </c>
      <c r="E3" s="1" t="s">
        <v>79</v>
      </c>
      <c r="F3" s="1" t="s">
        <v>9</v>
      </c>
      <c r="G3" s="1" t="s">
        <v>80</v>
      </c>
    </row>
    <row r="4" spans="1:7" x14ac:dyDescent="0.2">
      <c r="A4" t="s">
        <v>46</v>
      </c>
      <c r="B4" t="s">
        <v>82</v>
      </c>
      <c r="C4" s="1" t="s">
        <v>11</v>
      </c>
      <c r="D4" s="1" t="s">
        <v>79</v>
      </c>
      <c r="E4" s="1" t="s">
        <v>78</v>
      </c>
      <c r="F4" s="1" t="s">
        <v>9</v>
      </c>
      <c r="G4" s="1" t="s">
        <v>81</v>
      </c>
    </row>
    <row r="5" spans="1:7" x14ac:dyDescent="0.2">
      <c r="A5" t="s">
        <v>47</v>
      </c>
      <c r="B5" t="s">
        <v>82</v>
      </c>
      <c r="C5" s="1" t="s">
        <v>12</v>
      </c>
      <c r="D5" s="1" t="s">
        <v>9</v>
      </c>
      <c r="E5" s="1" t="s">
        <v>78</v>
      </c>
      <c r="F5" s="1" t="s">
        <v>79</v>
      </c>
      <c r="G5" s="1" t="s">
        <v>10</v>
      </c>
    </row>
    <row r="6" spans="1:7" x14ac:dyDescent="0.2">
      <c r="A6" t="s">
        <v>48</v>
      </c>
      <c r="B6" t="s">
        <v>82</v>
      </c>
      <c r="C6" s="1" t="s">
        <v>13</v>
      </c>
      <c r="D6" s="1" t="s">
        <v>7</v>
      </c>
      <c r="E6" s="1" t="s">
        <v>6</v>
      </c>
      <c r="F6" s="1" t="s">
        <v>8</v>
      </c>
      <c r="G6" s="1" t="s">
        <v>9</v>
      </c>
    </row>
    <row r="7" spans="1:7" x14ac:dyDescent="0.2">
      <c r="A7" t="s">
        <v>49</v>
      </c>
      <c r="B7" t="s">
        <v>82</v>
      </c>
      <c r="C7" s="1" t="s">
        <v>14</v>
      </c>
      <c r="D7" s="1" t="s">
        <v>10</v>
      </c>
      <c r="E7" s="1" t="s">
        <v>80</v>
      </c>
      <c r="F7" s="1" t="s">
        <v>81</v>
      </c>
      <c r="G7" s="1" t="s">
        <v>9</v>
      </c>
    </row>
    <row r="8" spans="1:7" x14ac:dyDescent="0.2">
      <c r="A8" t="s">
        <v>50</v>
      </c>
      <c r="B8" t="s">
        <v>82</v>
      </c>
      <c r="C8" s="1" t="s">
        <v>15</v>
      </c>
      <c r="D8" s="1" t="s">
        <v>81</v>
      </c>
      <c r="E8" s="1" t="s">
        <v>80</v>
      </c>
      <c r="F8" s="1" t="s">
        <v>10</v>
      </c>
      <c r="G8" s="1" t="s">
        <v>79</v>
      </c>
    </row>
    <row r="9" spans="1:7" x14ac:dyDescent="0.2">
      <c r="A9" t="s">
        <v>51</v>
      </c>
      <c r="B9" t="s">
        <v>82</v>
      </c>
      <c r="C9" s="1" t="s">
        <v>16</v>
      </c>
      <c r="D9" s="1" t="s">
        <v>80</v>
      </c>
      <c r="E9" s="1" t="s">
        <v>81</v>
      </c>
      <c r="F9" s="1" t="s">
        <v>10</v>
      </c>
      <c r="G9" s="1" t="s">
        <v>78</v>
      </c>
    </row>
    <row r="10" spans="1:7" x14ac:dyDescent="0.2">
      <c r="A10" t="s">
        <v>52</v>
      </c>
      <c r="B10" t="s">
        <v>82</v>
      </c>
      <c r="C10" s="1" t="s">
        <v>17</v>
      </c>
      <c r="D10" s="1" t="s">
        <v>8</v>
      </c>
      <c r="E10" s="1" t="s">
        <v>7</v>
      </c>
      <c r="F10" s="1" t="s">
        <v>6</v>
      </c>
      <c r="G10" s="1" t="s">
        <v>10</v>
      </c>
    </row>
    <row r="11" spans="1:7" x14ac:dyDescent="0.2">
      <c r="A11" t="s">
        <v>53</v>
      </c>
      <c r="B11" t="s">
        <v>82</v>
      </c>
      <c r="C11" s="1" t="s">
        <v>18</v>
      </c>
      <c r="D11" s="1" t="s">
        <v>80</v>
      </c>
      <c r="E11" s="1" t="s">
        <v>81</v>
      </c>
      <c r="F11" s="1" t="s">
        <v>10</v>
      </c>
      <c r="G11" s="1" t="s">
        <v>78</v>
      </c>
    </row>
    <row r="12" spans="1:7" x14ac:dyDescent="0.2">
      <c r="A12" t="s">
        <v>54</v>
      </c>
      <c r="B12" t="s">
        <v>82</v>
      </c>
      <c r="C12" s="1" t="s">
        <v>19</v>
      </c>
      <c r="D12" s="1" t="s">
        <v>79</v>
      </c>
      <c r="E12" s="1" t="s">
        <v>78</v>
      </c>
      <c r="F12" s="1" t="s">
        <v>9</v>
      </c>
      <c r="G12" s="1" t="s">
        <v>81</v>
      </c>
    </row>
    <row r="13" spans="1:7" x14ac:dyDescent="0.2">
      <c r="A13" t="s">
        <v>55</v>
      </c>
      <c r="B13" t="s">
        <v>82</v>
      </c>
      <c r="C13" s="1" t="s">
        <v>20</v>
      </c>
      <c r="D13" s="1" t="s">
        <v>10</v>
      </c>
      <c r="E13" s="1" t="s">
        <v>80</v>
      </c>
      <c r="F13" s="1" t="s">
        <v>81</v>
      </c>
      <c r="G13" s="1" t="s">
        <v>9</v>
      </c>
    </row>
    <row r="14" spans="1:7" x14ac:dyDescent="0.2">
      <c r="A14" t="s">
        <v>56</v>
      </c>
      <c r="B14" t="s">
        <v>82</v>
      </c>
      <c r="C14" s="1" t="s">
        <v>21</v>
      </c>
      <c r="D14" s="1" t="s">
        <v>7</v>
      </c>
      <c r="E14" s="1" t="s">
        <v>6</v>
      </c>
      <c r="F14" s="1" t="s">
        <v>8</v>
      </c>
      <c r="G14" s="1" t="s">
        <v>9</v>
      </c>
    </row>
    <row r="15" spans="1:7" x14ac:dyDescent="0.2">
      <c r="A15" t="s">
        <v>57</v>
      </c>
      <c r="B15" t="s">
        <v>82</v>
      </c>
      <c r="C15" s="1" t="s">
        <v>22</v>
      </c>
      <c r="D15" s="1" t="s">
        <v>9</v>
      </c>
      <c r="E15" s="1" t="s">
        <v>78</v>
      </c>
      <c r="F15" s="1" t="s">
        <v>79</v>
      </c>
      <c r="G15" s="1" t="s">
        <v>10</v>
      </c>
    </row>
    <row r="16" spans="1:7" x14ac:dyDescent="0.2">
      <c r="A16" t="s">
        <v>58</v>
      </c>
      <c r="B16" t="s">
        <v>82</v>
      </c>
      <c r="C16" s="1" t="s">
        <v>23</v>
      </c>
      <c r="D16" s="1" t="s">
        <v>79</v>
      </c>
      <c r="E16" s="1" t="s">
        <v>78</v>
      </c>
      <c r="F16" s="1" t="s">
        <v>9</v>
      </c>
      <c r="G16" s="1" t="s">
        <v>81</v>
      </c>
    </row>
    <row r="17" spans="1:7" x14ac:dyDescent="0.2">
      <c r="A17" t="s">
        <v>59</v>
      </c>
      <c r="B17" t="s">
        <v>82</v>
      </c>
      <c r="C17" s="1" t="s">
        <v>24</v>
      </c>
      <c r="D17" s="1" t="s">
        <v>78</v>
      </c>
      <c r="E17" s="1" t="s">
        <v>79</v>
      </c>
      <c r="F17" s="1" t="s">
        <v>9</v>
      </c>
      <c r="G17" s="1" t="s">
        <v>80</v>
      </c>
    </row>
    <row r="18" spans="1:7" x14ac:dyDescent="0.2">
      <c r="A18" t="s">
        <v>60</v>
      </c>
      <c r="B18" t="s">
        <v>82</v>
      </c>
      <c r="C18" s="1" t="s">
        <v>25</v>
      </c>
      <c r="D18" s="1" t="s">
        <v>6</v>
      </c>
      <c r="E18" s="1" t="s">
        <v>7</v>
      </c>
      <c r="F18" s="1" t="s">
        <v>8</v>
      </c>
      <c r="G18" s="1" t="s">
        <v>9</v>
      </c>
    </row>
    <row r="19" spans="1:7" x14ac:dyDescent="0.2">
      <c r="A19" t="s">
        <v>61</v>
      </c>
      <c r="B19" t="s">
        <v>82</v>
      </c>
      <c r="C19" s="1" t="s">
        <v>26</v>
      </c>
      <c r="D19" s="1" t="s">
        <v>7</v>
      </c>
      <c r="E19" s="1" t="s">
        <v>6</v>
      </c>
      <c r="F19" s="1" t="s">
        <v>8</v>
      </c>
      <c r="G19" s="1" t="s">
        <v>9</v>
      </c>
    </row>
    <row r="20" spans="1:7" x14ac:dyDescent="0.2">
      <c r="A20" t="s">
        <v>62</v>
      </c>
      <c r="B20" t="s">
        <v>82</v>
      </c>
      <c r="C20" s="1" t="s">
        <v>27</v>
      </c>
      <c r="D20" s="1" t="s">
        <v>9</v>
      </c>
      <c r="E20" s="1" t="s">
        <v>78</v>
      </c>
      <c r="F20" s="1" t="s">
        <v>79</v>
      </c>
      <c r="G20" s="1" t="s">
        <v>10</v>
      </c>
    </row>
    <row r="21" spans="1:7" x14ac:dyDescent="0.2">
      <c r="A21" t="s">
        <v>63</v>
      </c>
      <c r="B21" t="s">
        <v>82</v>
      </c>
      <c r="C21" s="1" t="s">
        <v>28</v>
      </c>
      <c r="D21" s="1" t="s">
        <v>79</v>
      </c>
      <c r="E21" s="1" t="s">
        <v>78</v>
      </c>
      <c r="F21" s="1" t="s">
        <v>9</v>
      </c>
      <c r="G21" s="1" t="s">
        <v>81</v>
      </c>
    </row>
    <row r="22" spans="1:7" x14ac:dyDescent="0.2">
      <c r="A22" t="s">
        <v>64</v>
      </c>
      <c r="B22" t="s">
        <v>82</v>
      </c>
      <c r="C22" s="1" t="s">
        <v>29</v>
      </c>
      <c r="D22" s="1" t="s">
        <v>78</v>
      </c>
      <c r="E22" s="1" t="s">
        <v>79</v>
      </c>
      <c r="F22" s="1" t="s">
        <v>9</v>
      </c>
      <c r="G22" s="1" t="s">
        <v>80</v>
      </c>
    </row>
    <row r="23" spans="1:7" x14ac:dyDescent="0.2">
      <c r="A23" t="s">
        <v>65</v>
      </c>
      <c r="B23" t="s">
        <v>82</v>
      </c>
      <c r="C23" s="1" t="s">
        <v>30</v>
      </c>
      <c r="D23" s="1" t="s">
        <v>6</v>
      </c>
      <c r="E23" s="1" t="s">
        <v>7</v>
      </c>
      <c r="F23" s="1" t="s">
        <v>8</v>
      </c>
      <c r="G23" s="1" t="s">
        <v>9</v>
      </c>
    </row>
    <row r="24" spans="1:7" x14ac:dyDescent="0.2">
      <c r="A24" t="s">
        <v>66</v>
      </c>
      <c r="B24" t="s">
        <v>82</v>
      </c>
      <c r="C24" s="1" t="s">
        <v>31</v>
      </c>
      <c r="D24" s="1" t="s">
        <v>78</v>
      </c>
      <c r="E24" s="1" t="s">
        <v>79</v>
      </c>
      <c r="F24" s="1" t="s">
        <v>9</v>
      </c>
      <c r="G24" s="1" t="s">
        <v>80</v>
      </c>
    </row>
    <row r="25" spans="1:7" x14ac:dyDescent="0.2">
      <c r="A25" t="s">
        <v>67</v>
      </c>
      <c r="B25" t="s">
        <v>82</v>
      </c>
      <c r="C25" s="1" t="s">
        <v>32</v>
      </c>
      <c r="D25" s="1" t="s">
        <v>79</v>
      </c>
      <c r="E25" s="1" t="s">
        <v>78</v>
      </c>
      <c r="F25" s="1" t="s">
        <v>9</v>
      </c>
      <c r="G25" s="1" t="s">
        <v>81</v>
      </c>
    </row>
    <row r="26" spans="1:7" x14ac:dyDescent="0.2">
      <c r="A26" t="s">
        <v>68</v>
      </c>
      <c r="B26" t="s">
        <v>82</v>
      </c>
      <c r="C26" s="1" t="s">
        <v>33</v>
      </c>
      <c r="D26" s="1" t="s">
        <v>9</v>
      </c>
      <c r="E26" s="1" t="s">
        <v>78</v>
      </c>
      <c r="F26" s="1" t="s">
        <v>79</v>
      </c>
      <c r="G26" s="1" t="s">
        <v>10</v>
      </c>
    </row>
    <row r="27" spans="1:7" x14ac:dyDescent="0.2">
      <c r="A27" t="s">
        <v>69</v>
      </c>
      <c r="B27" t="s">
        <v>82</v>
      </c>
      <c r="C27" s="1" t="s">
        <v>34</v>
      </c>
      <c r="D27" s="1" t="s">
        <v>7</v>
      </c>
      <c r="E27" s="1" t="s">
        <v>6</v>
      </c>
      <c r="F27" s="1" t="s">
        <v>8</v>
      </c>
      <c r="G27" s="1" t="s">
        <v>9</v>
      </c>
    </row>
    <row r="28" spans="1:7" x14ac:dyDescent="0.2">
      <c r="A28" t="s">
        <v>70</v>
      </c>
      <c r="B28" t="s">
        <v>82</v>
      </c>
      <c r="C28" s="1" t="s">
        <v>35</v>
      </c>
      <c r="D28" s="1" t="s">
        <v>10</v>
      </c>
      <c r="E28" s="1" t="s">
        <v>80</v>
      </c>
      <c r="F28" s="1" t="s">
        <v>81</v>
      </c>
      <c r="G28" s="1" t="s">
        <v>9</v>
      </c>
    </row>
    <row r="29" spans="1:7" x14ac:dyDescent="0.2">
      <c r="A29" t="s">
        <v>71</v>
      </c>
      <c r="B29" t="s">
        <v>82</v>
      </c>
      <c r="C29" s="1" t="s">
        <v>36</v>
      </c>
      <c r="D29" s="1" t="s">
        <v>81</v>
      </c>
      <c r="E29" s="1" t="s">
        <v>80</v>
      </c>
      <c r="F29" s="1" t="s">
        <v>10</v>
      </c>
      <c r="G29" s="1" t="s">
        <v>79</v>
      </c>
    </row>
    <row r="30" spans="1:7" x14ac:dyDescent="0.2">
      <c r="A30" t="s">
        <v>72</v>
      </c>
      <c r="B30" t="s">
        <v>82</v>
      </c>
      <c r="C30" s="1" t="s">
        <v>37</v>
      </c>
      <c r="D30" s="1" t="s">
        <v>80</v>
      </c>
      <c r="E30" s="1" t="s">
        <v>81</v>
      </c>
      <c r="F30" s="1" t="s">
        <v>10</v>
      </c>
      <c r="G30" s="1" t="s">
        <v>78</v>
      </c>
    </row>
    <row r="31" spans="1:7" x14ac:dyDescent="0.2">
      <c r="A31" t="s">
        <v>73</v>
      </c>
      <c r="B31" t="s">
        <v>82</v>
      </c>
      <c r="C31" s="1" t="s">
        <v>38</v>
      </c>
      <c r="D31" s="1" t="s">
        <v>8</v>
      </c>
      <c r="E31" s="1" t="s">
        <v>7</v>
      </c>
      <c r="F31" s="1" t="s">
        <v>6</v>
      </c>
      <c r="G31" s="1" t="s">
        <v>10</v>
      </c>
    </row>
    <row r="32" spans="1:7" x14ac:dyDescent="0.2">
      <c r="A32" t="s">
        <v>74</v>
      </c>
      <c r="B32" t="s">
        <v>82</v>
      </c>
      <c r="C32" s="1" t="s">
        <v>39</v>
      </c>
      <c r="D32" s="1" t="s">
        <v>80</v>
      </c>
      <c r="E32" s="1" t="s">
        <v>81</v>
      </c>
      <c r="F32" s="1" t="s">
        <v>10</v>
      </c>
      <c r="G32" s="1" t="s">
        <v>78</v>
      </c>
    </row>
    <row r="33" spans="1:7" x14ac:dyDescent="0.2">
      <c r="A33" t="s">
        <v>75</v>
      </c>
      <c r="B33" t="s">
        <v>82</v>
      </c>
      <c r="C33" s="1" t="s">
        <v>40</v>
      </c>
      <c r="D33" s="1" t="s">
        <v>81</v>
      </c>
      <c r="E33" s="1" t="s">
        <v>80</v>
      </c>
      <c r="F33" s="1" t="s">
        <v>10</v>
      </c>
      <c r="G33" s="1" t="s">
        <v>79</v>
      </c>
    </row>
    <row r="34" spans="1:7" x14ac:dyDescent="0.2">
      <c r="A34" t="s">
        <v>76</v>
      </c>
      <c r="B34" t="s">
        <v>82</v>
      </c>
      <c r="C34" s="1" t="s">
        <v>41</v>
      </c>
      <c r="D34" s="1" t="s">
        <v>10</v>
      </c>
      <c r="E34" s="1" t="s">
        <v>80</v>
      </c>
      <c r="F34" s="1" t="s">
        <v>81</v>
      </c>
      <c r="G34" s="1" t="s">
        <v>9</v>
      </c>
    </row>
    <row r="35" spans="1:7" x14ac:dyDescent="0.2">
      <c r="A35" t="s">
        <v>77</v>
      </c>
      <c r="B35" t="s">
        <v>82</v>
      </c>
      <c r="C35" s="1" t="s">
        <v>42</v>
      </c>
      <c r="D35" s="1" t="s">
        <v>7</v>
      </c>
      <c r="E35" s="1" t="s">
        <v>6</v>
      </c>
      <c r="F35" s="1" t="s">
        <v>8</v>
      </c>
      <c r="G35" s="1" t="s">
        <v>9</v>
      </c>
    </row>
    <row r="36" spans="1:7" x14ac:dyDescent="0.2">
      <c r="A36" t="s">
        <v>125</v>
      </c>
      <c r="B36" t="s">
        <v>165</v>
      </c>
      <c r="C36" s="1" t="s">
        <v>85</v>
      </c>
      <c r="D36">
        <v>1</v>
      </c>
      <c r="E36">
        <v>2</v>
      </c>
      <c r="F36">
        <v>9</v>
      </c>
      <c r="G36">
        <v>4</v>
      </c>
    </row>
    <row r="37" spans="1:7" x14ac:dyDescent="0.2">
      <c r="A37" t="s">
        <v>126</v>
      </c>
      <c r="B37" t="s">
        <v>165</v>
      </c>
      <c r="C37" s="1" t="s">
        <v>86</v>
      </c>
      <c r="D37">
        <v>4</v>
      </c>
      <c r="E37">
        <v>1</v>
      </c>
      <c r="F37">
        <v>9</v>
      </c>
      <c r="G37">
        <v>16</v>
      </c>
    </row>
    <row r="38" spans="1:7" x14ac:dyDescent="0.2">
      <c r="A38" t="s">
        <v>127</v>
      </c>
      <c r="B38" t="s">
        <v>165</v>
      </c>
      <c r="C38" s="1" t="s">
        <v>87</v>
      </c>
      <c r="D38">
        <v>9</v>
      </c>
      <c r="E38">
        <v>16</v>
      </c>
      <c r="F38">
        <v>6</v>
      </c>
      <c r="G38">
        <v>1</v>
      </c>
    </row>
    <row r="39" spans="1:7" x14ac:dyDescent="0.2">
      <c r="A39" t="s">
        <v>128</v>
      </c>
      <c r="B39" t="s">
        <v>165</v>
      </c>
      <c r="C39" s="1" t="s">
        <v>88</v>
      </c>
      <c r="D39">
        <v>16</v>
      </c>
      <c r="E39">
        <v>9</v>
      </c>
      <c r="F39">
        <v>4</v>
      </c>
      <c r="G39">
        <v>8</v>
      </c>
    </row>
    <row r="40" spans="1:7" x14ac:dyDescent="0.2">
      <c r="A40" t="s">
        <v>129</v>
      </c>
      <c r="B40" t="s">
        <v>165</v>
      </c>
      <c r="C40" t="s">
        <v>89</v>
      </c>
      <c r="D40">
        <v>25</v>
      </c>
      <c r="E40">
        <v>9</v>
      </c>
      <c r="F40">
        <v>10</v>
      </c>
      <c r="G40">
        <v>16</v>
      </c>
    </row>
    <row r="41" spans="1:7" x14ac:dyDescent="0.2">
      <c r="A41" t="s">
        <v>130</v>
      </c>
      <c r="B41" t="s">
        <v>165</v>
      </c>
      <c r="C41" t="s">
        <v>90</v>
      </c>
      <c r="D41">
        <v>36</v>
      </c>
      <c r="E41">
        <v>34</v>
      </c>
      <c r="F41">
        <v>38</v>
      </c>
      <c r="G41">
        <v>16</v>
      </c>
    </row>
    <row r="42" spans="1:7" x14ac:dyDescent="0.2">
      <c r="A42" t="s">
        <v>131</v>
      </c>
      <c r="B42" t="s">
        <v>165</v>
      </c>
      <c r="C42" t="s">
        <v>91</v>
      </c>
      <c r="D42">
        <v>49</v>
      </c>
      <c r="E42">
        <v>52</v>
      </c>
      <c r="F42">
        <v>51</v>
      </c>
      <c r="G42">
        <v>81</v>
      </c>
    </row>
    <row r="43" spans="1:7" x14ac:dyDescent="0.2">
      <c r="A43" t="s">
        <v>132</v>
      </c>
      <c r="B43" t="s">
        <v>165</v>
      </c>
      <c r="C43" t="s">
        <v>92</v>
      </c>
      <c r="D43">
        <v>64</v>
      </c>
      <c r="E43">
        <v>36</v>
      </c>
      <c r="F43">
        <v>62</v>
      </c>
      <c r="G43">
        <v>61</v>
      </c>
    </row>
    <row r="44" spans="1:7" x14ac:dyDescent="0.2">
      <c r="A44" t="s">
        <v>133</v>
      </c>
      <c r="B44" t="s">
        <v>165</v>
      </c>
      <c r="C44" t="s">
        <v>93</v>
      </c>
      <c r="D44">
        <v>81</v>
      </c>
      <c r="E44">
        <v>49</v>
      </c>
      <c r="F44">
        <v>84</v>
      </c>
      <c r="G44">
        <v>82</v>
      </c>
    </row>
    <row r="45" spans="1:7" x14ac:dyDescent="0.2">
      <c r="A45" t="s">
        <v>134</v>
      </c>
      <c r="B45" t="s">
        <v>165</v>
      </c>
      <c r="C45" t="s">
        <v>94</v>
      </c>
      <c r="D45">
        <v>100</v>
      </c>
      <c r="E45">
        <v>101</v>
      </c>
      <c r="F45">
        <v>81</v>
      </c>
      <c r="G45">
        <v>103</v>
      </c>
    </row>
    <row r="46" spans="1:7" x14ac:dyDescent="0.2">
      <c r="A46" t="s">
        <v>135</v>
      </c>
      <c r="B46" t="s">
        <v>165</v>
      </c>
      <c r="C46" t="s">
        <v>95</v>
      </c>
      <c r="D46">
        <v>121</v>
      </c>
      <c r="E46">
        <v>100</v>
      </c>
      <c r="F46">
        <v>122</v>
      </c>
      <c r="G46">
        <v>123</v>
      </c>
    </row>
    <row r="47" spans="1:7" x14ac:dyDescent="0.2">
      <c r="A47" t="s">
        <v>136</v>
      </c>
      <c r="B47" t="s">
        <v>165</v>
      </c>
      <c r="C47" t="s">
        <v>96</v>
      </c>
      <c r="D47">
        <v>144</v>
      </c>
      <c r="E47">
        <v>169</v>
      </c>
      <c r="F47">
        <v>121</v>
      </c>
      <c r="G47">
        <v>100</v>
      </c>
    </row>
    <row r="48" spans="1:7" x14ac:dyDescent="0.2">
      <c r="A48" t="s">
        <v>137</v>
      </c>
      <c r="B48" t="s">
        <v>165</v>
      </c>
      <c r="C48" t="s">
        <v>97</v>
      </c>
      <c r="D48">
        <v>169</v>
      </c>
      <c r="E48">
        <v>121</v>
      </c>
      <c r="F48">
        <v>172</v>
      </c>
      <c r="G48">
        <v>144</v>
      </c>
    </row>
    <row r="49" spans="1:7" x14ac:dyDescent="0.2">
      <c r="A49" t="s">
        <v>138</v>
      </c>
      <c r="B49" t="s">
        <v>165</v>
      </c>
      <c r="C49" t="s">
        <v>98</v>
      </c>
      <c r="D49">
        <v>196</v>
      </c>
      <c r="E49">
        <v>256</v>
      </c>
      <c r="F49">
        <v>195</v>
      </c>
      <c r="G49">
        <v>197</v>
      </c>
    </row>
    <row r="50" spans="1:7" x14ac:dyDescent="0.2">
      <c r="A50" t="s">
        <v>139</v>
      </c>
      <c r="B50" t="s">
        <v>165</v>
      </c>
      <c r="C50" t="s">
        <v>99</v>
      </c>
      <c r="D50">
        <v>225</v>
      </c>
      <c r="E50">
        <v>256</v>
      </c>
      <c r="F50">
        <v>196</v>
      </c>
      <c r="G50">
        <v>224</v>
      </c>
    </row>
    <row r="51" spans="1:7" x14ac:dyDescent="0.2">
      <c r="A51" t="s">
        <v>140</v>
      </c>
      <c r="B51" t="s">
        <v>165</v>
      </c>
      <c r="C51" t="s">
        <v>100</v>
      </c>
      <c r="D51">
        <v>256</v>
      </c>
      <c r="E51">
        <v>253</v>
      </c>
      <c r="F51">
        <v>257</v>
      </c>
      <c r="G51">
        <v>289</v>
      </c>
    </row>
    <row r="52" spans="1:7" x14ac:dyDescent="0.2">
      <c r="A52" t="s">
        <v>141</v>
      </c>
      <c r="B52" t="s">
        <v>165</v>
      </c>
      <c r="C52" t="s">
        <v>101</v>
      </c>
      <c r="D52">
        <v>289</v>
      </c>
      <c r="E52">
        <v>324</v>
      </c>
      <c r="F52">
        <v>361</v>
      </c>
      <c r="G52">
        <v>287</v>
      </c>
    </row>
    <row r="53" spans="1:7" x14ac:dyDescent="0.2">
      <c r="A53" t="s">
        <v>142</v>
      </c>
      <c r="B53" t="s">
        <v>165</v>
      </c>
      <c r="C53" t="s">
        <v>102</v>
      </c>
      <c r="D53">
        <v>324</v>
      </c>
      <c r="E53">
        <v>326</v>
      </c>
      <c r="F53">
        <v>289</v>
      </c>
      <c r="G53">
        <v>323</v>
      </c>
    </row>
    <row r="54" spans="1:7" x14ac:dyDescent="0.2">
      <c r="A54" t="s">
        <v>143</v>
      </c>
      <c r="B54" t="s">
        <v>165</v>
      </c>
      <c r="C54" t="s">
        <v>103</v>
      </c>
      <c r="D54">
        <v>361</v>
      </c>
      <c r="E54">
        <v>364</v>
      </c>
      <c r="F54">
        <v>400</v>
      </c>
      <c r="G54">
        <v>362</v>
      </c>
    </row>
    <row r="55" spans="1:7" x14ac:dyDescent="0.2">
      <c r="A55" t="s">
        <v>144</v>
      </c>
      <c r="B55" t="s">
        <v>165</v>
      </c>
      <c r="C55" t="s">
        <v>104</v>
      </c>
      <c r="D55">
        <v>400</v>
      </c>
      <c r="E55">
        <v>361</v>
      </c>
      <c r="F55">
        <v>397</v>
      </c>
      <c r="G55">
        <v>484</v>
      </c>
    </row>
    <row r="56" spans="1:7" x14ac:dyDescent="0.2">
      <c r="A56" t="s">
        <v>145</v>
      </c>
      <c r="B56" t="s">
        <v>165</v>
      </c>
      <c r="C56" t="s">
        <v>105</v>
      </c>
      <c r="D56">
        <v>1</v>
      </c>
      <c r="E56">
        <v>3</v>
      </c>
      <c r="F56">
        <v>2</v>
      </c>
      <c r="G56">
        <v>5</v>
      </c>
    </row>
    <row r="57" spans="1:7" x14ac:dyDescent="0.2">
      <c r="A57" t="s">
        <v>146</v>
      </c>
      <c r="B57" t="s">
        <v>165</v>
      </c>
      <c r="C57" t="s">
        <v>106</v>
      </c>
      <c r="D57">
        <v>2</v>
      </c>
      <c r="E57">
        <v>3</v>
      </c>
      <c r="F57">
        <v>4</v>
      </c>
      <c r="G57">
        <v>1</v>
      </c>
    </row>
    <row r="58" spans="1:7" x14ac:dyDescent="0.2">
      <c r="A58" t="s">
        <v>147</v>
      </c>
      <c r="B58" t="s">
        <v>165</v>
      </c>
      <c r="C58" t="s">
        <v>107</v>
      </c>
      <c r="D58">
        <v>3</v>
      </c>
      <c r="E58">
        <v>2</v>
      </c>
      <c r="F58">
        <v>5</v>
      </c>
      <c r="G58">
        <v>1</v>
      </c>
    </row>
    <row r="59" spans="1:7" x14ac:dyDescent="0.2">
      <c r="A59" t="s">
        <v>148</v>
      </c>
      <c r="B59" t="s">
        <v>165</v>
      </c>
      <c r="C59" t="s">
        <v>108</v>
      </c>
      <c r="D59">
        <v>4</v>
      </c>
      <c r="E59">
        <v>5</v>
      </c>
      <c r="F59">
        <v>8</v>
      </c>
      <c r="G59">
        <v>6</v>
      </c>
    </row>
    <row r="60" spans="1:7" x14ac:dyDescent="0.2">
      <c r="A60" t="s">
        <v>149</v>
      </c>
      <c r="B60" t="s">
        <v>165</v>
      </c>
      <c r="C60" t="s">
        <v>109</v>
      </c>
      <c r="D60">
        <v>5</v>
      </c>
      <c r="E60">
        <v>4</v>
      </c>
      <c r="F60">
        <v>6</v>
      </c>
      <c r="G60">
        <v>10</v>
      </c>
    </row>
    <row r="61" spans="1:7" x14ac:dyDescent="0.2">
      <c r="A61" t="s">
        <v>150</v>
      </c>
      <c r="B61" t="s">
        <v>165</v>
      </c>
      <c r="C61" t="s">
        <v>110</v>
      </c>
      <c r="D61">
        <v>6</v>
      </c>
      <c r="E61">
        <v>8</v>
      </c>
      <c r="F61">
        <v>5</v>
      </c>
      <c r="G61">
        <v>7</v>
      </c>
    </row>
    <row r="62" spans="1:7" x14ac:dyDescent="0.2">
      <c r="A62" t="s">
        <v>151</v>
      </c>
      <c r="B62" t="s">
        <v>165</v>
      </c>
      <c r="C62" t="s">
        <v>111</v>
      </c>
      <c r="D62">
        <v>7</v>
      </c>
      <c r="E62">
        <v>6</v>
      </c>
      <c r="F62">
        <v>8</v>
      </c>
      <c r="G62">
        <v>5</v>
      </c>
    </row>
    <row r="63" spans="1:7" x14ac:dyDescent="0.2">
      <c r="A63" t="s">
        <v>152</v>
      </c>
      <c r="B63" t="s">
        <v>165</v>
      </c>
      <c r="C63" t="s">
        <v>112</v>
      </c>
      <c r="D63">
        <v>8</v>
      </c>
      <c r="E63">
        <v>9</v>
      </c>
      <c r="F63">
        <v>7</v>
      </c>
      <c r="G63">
        <v>10</v>
      </c>
    </row>
    <row r="64" spans="1:7" x14ac:dyDescent="0.2">
      <c r="A64" t="s">
        <v>153</v>
      </c>
      <c r="B64" t="s">
        <v>165</v>
      </c>
      <c r="C64" t="s">
        <v>113</v>
      </c>
      <c r="D64">
        <v>9</v>
      </c>
      <c r="E64">
        <v>8</v>
      </c>
      <c r="F64">
        <v>10</v>
      </c>
      <c r="G64">
        <v>11</v>
      </c>
    </row>
    <row r="65" spans="1:7" x14ac:dyDescent="0.2">
      <c r="A65" t="s">
        <v>154</v>
      </c>
      <c r="B65" t="s">
        <v>165</v>
      </c>
      <c r="C65" t="s">
        <v>114</v>
      </c>
      <c r="D65">
        <v>10</v>
      </c>
      <c r="E65">
        <v>9</v>
      </c>
      <c r="F65">
        <v>11</v>
      </c>
      <c r="G65">
        <v>12</v>
      </c>
    </row>
    <row r="66" spans="1:7" x14ac:dyDescent="0.2">
      <c r="A66" t="s">
        <v>155</v>
      </c>
      <c r="B66" t="s">
        <v>165</v>
      </c>
      <c r="C66" t="s">
        <v>115</v>
      </c>
      <c r="D66">
        <v>11</v>
      </c>
      <c r="E66">
        <v>12</v>
      </c>
      <c r="F66">
        <v>13</v>
      </c>
      <c r="G66">
        <v>10</v>
      </c>
    </row>
    <row r="67" spans="1:7" x14ac:dyDescent="0.2">
      <c r="A67" t="s">
        <v>156</v>
      </c>
      <c r="B67" t="s">
        <v>165</v>
      </c>
      <c r="C67" t="s">
        <v>116</v>
      </c>
      <c r="D67">
        <v>12</v>
      </c>
      <c r="E67">
        <v>14</v>
      </c>
      <c r="F67">
        <v>10</v>
      </c>
      <c r="G67">
        <v>13</v>
      </c>
    </row>
    <row r="68" spans="1:7" x14ac:dyDescent="0.2">
      <c r="A68" t="s">
        <v>157</v>
      </c>
      <c r="B68" t="s">
        <v>165</v>
      </c>
      <c r="C68" t="s">
        <v>117</v>
      </c>
      <c r="D68">
        <v>13</v>
      </c>
      <c r="E68">
        <v>12</v>
      </c>
      <c r="F68">
        <v>14</v>
      </c>
      <c r="G68">
        <v>15</v>
      </c>
    </row>
    <row r="69" spans="1:7" x14ac:dyDescent="0.2">
      <c r="A69" t="s">
        <v>158</v>
      </c>
      <c r="B69" t="s">
        <v>165</v>
      </c>
      <c r="C69" t="s">
        <v>118</v>
      </c>
      <c r="D69">
        <v>14</v>
      </c>
      <c r="E69">
        <v>15</v>
      </c>
      <c r="F69">
        <v>13</v>
      </c>
      <c r="G69">
        <v>16</v>
      </c>
    </row>
    <row r="70" spans="1:7" x14ac:dyDescent="0.2">
      <c r="A70" t="s">
        <v>159</v>
      </c>
      <c r="B70" t="s">
        <v>165</v>
      </c>
      <c r="C70" t="s">
        <v>119</v>
      </c>
      <c r="D70">
        <v>15</v>
      </c>
      <c r="E70">
        <v>17</v>
      </c>
      <c r="F70">
        <v>14</v>
      </c>
      <c r="G70">
        <v>16</v>
      </c>
    </row>
    <row r="71" spans="1:7" x14ac:dyDescent="0.2">
      <c r="A71" t="s">
        <v>160</v>
      </c>
      <c r="B71" t="s">
        <v>165</v>
      </c>
      <c r="C71" t="s">
        <v>120</v>
      </c>
      <c r="D71">
        <v>16</v>
      </c>
      <c r="E71">
        <v>17</v>
      </c>
      <c r="F71">
        <v>18</v>
      </c>
      <c r="G71">
        <v>15</v>
      </c>
    </row>
    <row r="72" spans="1:7" x14ac:dyDescent="0.2">
      <c r="A72" t="s">
        <v>161</v>
      </c>
      <c r="B72" t="s">
        <v>165</v>
      </c>
      <c r="C72" t="s">
        <v>121</v>
      </c>
      <c r="D72">
        <v>17</v>
      </c>
      <c r="E72">
        <v>15</v>
      </c>
      <c r="F72">
        <v>16</v>
      </c>
      <c r="G72">
        <v>19</v>
      </c>
    </row>
    <row r="73" spans="1:7" x14ac:dyDescent="0.2">
      <c r="A73" t="s">
        <v>162</v>
      </c>
      <c r="B73" t="s">
        <v>165</v>
      </c>
      <c r="C73" t="s">
        <v>122</v>
      </c>
      <c r="D73">
        <v>18</v>
      </c>
      <c r="E73">
        <v>19</v>
      </c>
      <c r="F73">
        <v>17</v>
      </c>
      <c r="G73">
        <v>16</v>
      </c>
    </row>
    <row r="74" spans="1:7" x14ac:dyDescent="0.2">
      <c r="A74" t="s">
        <v>163</v>
      </c>
      <c r="B74" t="s">
        <v>165</v>
      </c>
      <c r="C74" t="s">
        <v>123</v>
      </c>
      <c r="D74">
        <v>19</v>
      </c>
      <c r="E74">
        <v>18</v>
      </c>
      <c r="F74">
        <v>20</v>
      </c>
      <c r="G74">
        <v>17</v>
      </c>
    </row>
    <row r="75" spans="1:7" x14ac:dyDescent="0.2">
      <c r="A75" t="s">
        <v>164</v>
      </c>
      <c r="B75" t="s">
        <v>165</v>
      </c>
      <c r="C75" t="s">
        <v>124</v>
      </c>
      <c r="D75">
        <v>20</v>
      </c>
      <c r="E75">
        <v>22</v>
      </c>
      <c r="F75">
        <v>19</v>
      </c>
      <c r="G75">
        <v>21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2EA51-173F-CF4F-8FFE-3FD34720780F}">
  <dimension ref="A1:B4"/>
  <sheetViews>
    <sheetView workbookViewId="0">
      <selection activeCell="A4" sqref="A4"/>
    </sheetView>
  </sheetViews>
  <sheetFormatPr baseColWidth="10" defaultRowHeight="16" x14ac:dyDescent="0.2"/>
  <sheetData>
    <row r="1" spans="1:2" x14ac:dyDescent="0.2">
      <c r="A1" t="s">
        <v>167</v>
      </c>
      <c r="B1" t="s">
        <v>169</v>
      </c>
    </row>
    <row r="2" spans="1:2" x14ac:dyDescent="0.2">
      <c r="A2" t="s">
        <v>166</v>
      </c>
      <c r="B2" t="s">
        <v>168</v>
      </c>
    </row>
    <row r="4" spans="1:2" x14ac:dyDescent="0.2">
      <c r="A4" t="e" cm="1" vm="1">
        <f t="array" ref="A4">_xlfn._xlws.FILTER(anki!A:C,(cards_master!B:B=B2))</f>
        <v>#VALUE!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891CE-84D5-EF44-9F8F-0E7C3321DDFA}">
  <dimension ref="A1:C74"/>
  <sheetViews>
    <sheetView tabSelected="1" workbookViewId="0">
      <selection activeCell="C16" sqref="C16"/>
    </sheetView>
  </sheetViews>
  <sheetFormatPr baseColWidth="10" defaultRowHeight="16" x14ac:dyDescent="0.2"/>
  <cols>
    <col min="2" max="2" width="24" bestFit="1" customWidth="1"/>
    <col min="3" max="3" width="50.5" bestFit="1" customWidth="1"/>
    <col min="4" max="4" width="42.83203125" customWidth="1"/>
  </cols>
  <sheetData>
    <row r="1" spans="1:3" x14ac:dyDescent="0.2">
      <c r="A1" t="str">
        <f>cards_master!A2</f>
        <v>cos_rad_01</v>
      </c>
      <c r="B1" t="str">
        <f>cards_master!B2</f>
        <v>trig values sin cos radians</v>
      </c>
      <c r="C1" t="str">
        <f>"\(" &amp;
SUBSTITUTE(SUBSTITUTE(SUBSTITUTE(SUBSTITUTE(cards_master!C2,"$",""),"\left(","("),"\right)",")"),"\sqrt{3}","\sqrt3") &amp;
"={{c1::" &amp;
SUBSTITUTE(SUBSTITUTE(cards_master!D2,"$",""),"\sqrt{3}","\sqrt3") &amp;
" }}\)"</f>
        <v>\(\cos(0)={{c1::1 }}\)</v>
      </c>
    </row>
    <row r="2" spans="1:3" x14ac:dyDescent="0.2">
      <c r="A2" t="str">
        <f>cards_master!A3</f>
        <v>cos_rad_02</v>
      </c>
      <c r="B2" t="str">
        <f>cards_master!B3</f>
        <v>trig values sin cos radians</v>
      </c>
      <c r="C2" t="str">
        <f>"\(" &amp;
SUBSTITUTE(SUBSTITUTE(SUBSTITUTE(SUBSTITUTE(cards_master!C3,"$",""),"\left(","("),"\right)",")"),"\sqrt{3}","\sqrt3") &amp;
"={{c1::" &amp;
SUBSTITUTE(SUBSTITUTE(cards_master!D3,"$",""),"\sqrt{3}","\sqrt3") &amp;
" }}\)"</f>
        <v>\(\cos(\frac{\pi}{6})={{c1::\frac{\sqrt3}{2} }}\)</v>
      </c>
    </row>
    <row r="3" spans="1:3" x14ac:dyDescent="0.2">
      <c r="A3" t="str">
        <f>cards_master!A4</f>
        <v>cos_rad_03</v>
      </c>
      <c r="B3" t="str">
        <f>cards_master!B4</f>
        <v>trig values sin cos radians</v>
      </c>
      <c r="C3" t="str">
        <f>"\(" &amp;
SUBSTITUTE(SUBSTITUTE(SUBSTITUTE(SUBSTITUTE(cards_master!C4,"$",""),"\left(","("),"\right)",")"),"\sqrt{3}","\sqrt3") &amp;
"={{c1::" &amp;
SUBSTITUTE(SUBSTITUTE(cards_master!D4,"$",""),"\sqrt{3}","\sqrt3") &amp;
" }}\)"</f>
        <v>\(\cos(\frac{\pi}{4})={{c1::\frac{\sqrt2}{2} }}\)</v>
      </c>
    </row>
    <row r="4" spans="1:3" x14ac:dyDescent="0.2">
      <c r="A4" t="str">
        <f>cards_master!A5</f>
        <v>cos_rad_04</v>
      </c>
      <c r="B4" t="str">
        <f>cards_master!B5</f>
        <v>trig values sin cos radians</v>
      </c>
      <c r="C4" t="str">
        <f>"\(" &amp;
SUBSTITUTE(SUBSTITUTE(SUBSTITUTE(SUBSTITUTE(cards_master!C5,"$",""),"\left(","("),"\right)",")"),"\sqrt{3}","\sqrt3") &amp;
"={{c1::" &amp;
SUBSTITUTE(SUBSTITUTE(cards_master!D5,"$",""),"\sqrt{3}","\sqrt3") &amp;
" }}\)"</f>
        <v>\(\cos(\frac{\pi}{3})={{c1::\frac{1}{2} }}\)</v>
      </c>
    </row>
    <row r="5" spans="1:3" x14ac:dyDescent="0.2">
      <c r="A5" t="str">
        <f>cards_master!A6</f>
        <v>cos_rad_05</v>
      </c>
      <c r="B5" t="str">
        <f>cards_master!B6</f>
        <v>trig values sin cos radians</v>
      </c>
      <c r="C5" t="str">
        <f>"\(" &amp;
SUBSTITUTE(SUBSTITUTE(SUBSTITUTE(SUBSTITUTE(cards_master!C6,"$",""),"\left(","("),"\right)",")"),"\sqrt{3}","\sqrt3") &amp;
"={{c1::" &amp;
SUBSTITUTE(SUBSTITUTE(cards_master!D6,"$",""),"\sqrt{3}","\sqrt3") &amp;
" }}\)"</f>
        <v>\(\cos(\frac{\pi}{2})={{c1::0 }}\)</v>
      </c>
    </row>
    <row r="6" spans="1:3" x14ac:dyDescent="0.2">
      <c r="A6" t="str">
        <f>cards_master!A7</f>
        <v>cos_rad_06</v>
      </c>
      <c r="B6" t="str">
        <f>cards_master!B7</f>
        <v>trig values sin cos radians</v>
      </c>
      <c r="C6" t="str">
        <f>"\(" &amp;
SUBSTITUTE(SUBSTITUTE(SUBSTITUTE(SUBSTITUTE(cards_master!C7,"$",""),"\left(","("),"\right)",")"),"\sqrt{3}","\sqrt3") &amp;
"={{c1::" &amp;
SUBSTITUTE(SUBSTITUTE(cards_master!D7,"$",""),"\sqrt{3}","\sqrt3") &amp;
" }}\)"</f>
        <v>\(\cos(\frac{2\pi}{3})={{c1::-\frac{1}{2} }}\)</v>
      </c>
    </row>
    <row r="7" spans="1:3" x14ac:dyDescent="0.2">
      <c r="A7" t="str">
        <f>cards_master!A8</f>
        <v>cos_rad_07</v>
      </c>
      <c r="B7" t="str">
        <f>cards_master!B8</f>
        <v>trig values sin cos radians</v>
      </c>
      <c r="C7" t="str">
        <f>"\(" &amp;
SUBSTITUTE(SUBSTITUTE(SUBSTITUTE(SUBSTITUTE(cards_master!C8,"$",""),"\left(","("),"\right)",")"),"\sqrt{3}","\sqrt3") &amp;
"={{c1::" &amp;
SUBSTITUTE(SUBSTITUTE(cards_master!D8,"$",""),"\sqrt{3}","\sqrt3") &amp;
" }}\)"</f>
        <v>\(\cos(\frac{3\pi}{4})={{c1::-\frac{\sqrt2}{2} }}\)</v>
      </c>
    </row>
    <row r="8" spans="1:3" x14ac:dyDescent="0.2">
      <c r="A8" t="str">
        <f>cards_master!A9</f>
        <v>cos_rad_08</v>
      </c>
      <c r="B8" t="str">
        <f>cards_master!B9</f>
        <v>trig values sin cos radians</v>
      </c>
      <c r="C8" t="str">
        <f>"\(" &amp;
SUBSTITUTE(SUBSTITUTE(SUBSTITUTE(SUBSTITUTE(cards_master!C9,"$",""),"\left(","("),"\right)",")"),"\sqrt{3}","\sqrt3") &amp;
"={{c1::" &amp;
SUBSTITUTE(SUBSTITUTE(cards_master!D9,"$",""),"\sqrt{3}","\sqrt3") &amp;
" }}\)"</f>
        <v>\(\cos(\frac{5\pi}{6})={{c1::-\frac{\sqrt3}{2} }}\)</v>
      </c>
    </row>
    <row r="9" spans="1:3" x14ac:dyDescent="0.2">
      <c r="A9" t="str">
        <f>cards_master!A10</f>
        <v>cos_rad_09</v>
      </c>
      <c r="B9" t="str">
        <f>cards_master!B10</f>
        <v>trig values sin cos radians</v>
      </c>
      <c r="C9" t="str">
        <f>"\(" &amp;
SUBSTITUTE(SUBSTITUTE(SUBSTITUTE(SUBSTITUTE(cards_master!C10,"$",""),"\left(","("),"\right)",")"),"\sqrt{3}","\sqrt3") &amp;
"={{c1::" &amp;
SUBSTITUTE(SUBSTITUTE(cards_master!D10,"$",""),"\sqrt{3}","\sqrt3") &amp;
" }}\)"</f>
        <v>\(\cos(\pi)={{c1::-1 }}\)</v>
      </c>
    </row>
    <row r="10" spans="1:3" x14ac:dyDescent="0.2">
      <c r="A10" t="str">
        <f>cards_master!A11</f>
        <v>cos_rad_10</v>
      </c>
      <c r="B10" t="str">
        <f>cards_master!B11</f>
        <v>trig values sin cos radians</v>
      </c>
      <c r="C10" t="str">
        <f>"\(" &amp;
SUBSTITUTE(SUBSTITUTE(SUBSTITUTE(SUBSTITUTE(cards_master!C11,"$",""),"\left(","("),"\right)",")"),"\sqrt{3}","\sqrt3") &amp;
"={{c1::" &amp;
SUBSTITUTE(SUBSTITUTE(cards_master!D11,"$",""),"\sqrt{3}","\sqrt3") &amp;
" }}\)"</f>
        <v>\(\cos(\frac{7\pi}{6})={{c1::-\frac{\sqrt3}{2} }}\)</v>
      </c>
    </row>
    <row r="11" spans="1:3" x14ac:dyDescent="0.2">
      <c r="A11" t="str">
        <f>cards_master!A12</f>
        <v>cos_rad_11</v>
      </c>
      <c r="B11" t="str">
        <f>cards_master!B12</f>
        <v>trig values sin cos radians</v>
      </c>
      <c r="C11" t="str">
        <f>"\(" &amp;
SUBSTITUTE(SUBSTITUTE(SUBSTITUTE(SUBSTITUTE(cards_master!C12,"$",""),"\left(","("),"\right)",")"),"\sqrt{3}","\sqrt3") &amp;
"={{c1::" &amp;
SUBSTITUTE(SUBSTITUTE(cards_master!D12,"$",""),"\sqrt{3}","\sqrt3") &amp;
" }}\)"</f>
        <v>\(\cos(\frac{5\pi}{4})={{c1::\frac{\sqrt2}{2} }}\)</v>
      </c>
    </row>
    <row r="12" spans="1:3" x14ac:dyDescent="0.2">
      <c r="A12" t="str">
        <f>cards_master!A13</f>
        <v>cos_rad_12</v>
      </c>
      <c r="B12" t="str">
        <f>cards_master!B13</f>
        <v>trig values sin cos radians</v>
      </c>
      <c r="C12" t="str">
        <f>"\(" &amp;
SUBSTITUTE(SUBSTITUTE(SUBSTITUTE(SUBSTITUTE(cards_master!C13,"$",""),"\left(","("),"\right)",")"),"\sqrt{3}","\sqrt3") &amp;
"={{c1::" &amp;
SUBSTITUTE(SUBSTITUTE(cards_master!D13,"$",""),"\sqrt{3}","\sqrt3") &amp;
" }}\)"</f>
        <v>\(\cos(\frac{4\pi}{3})={{c1::-\frac{1}{2} }}\)</v>
      </c>
    </row>
    <row r="13" spans="1:3" x14ac:dyDescent="0.2">
      <c r="A13" t="str">
        <f>cards_master!A14</f>
        <v>cos_rad_13</v>
      </c>
      <c r="B13" t="str">
        <f>cards_master!B14</f>
        <v>trig values sin cos radians</v>
      </c>
      <c r="C13" t="str">
        <f>"\(" &amp;
SUBSTITUTE(SUBSTITUTE(SUBSTITUTE(SUBSTITUTE(cards_master!C14,"$",""),"\left(","("),"\right)",")"),"\sqrt{3}","\sqrt3") &amp;
"={{c1::" &amp;
SUBSTITUTE(SUBSTITUTE(cards_master!D14,"$",""),"\sqrt{3}","\sqrt3") &amp;
" }}\)"</f>
        <v>\(\cos(\frac{3\pi}{2})={{c1::0 }}\)</v>
      </c>
    </row>
    <row r="14" spans="1:3" x14ac:dyDescent="0.2">
      <c r="A14" t="str">
        <f>cards_master!A15</f>
        <v>cos_rad_14</v>
      </c>
      <c r="B14" t="str">
        <f>cards_master!B15</f>
        <v>trig values sin cos radians</v>
      </c>
      <c r="C14" t="str">
        <f>"\(" &amp;
SUBSTITUTE(SUBSTITUTE(SUBSTITUTE(SUBSTITUTE(cards_master!C15,"$",""),"\left(","("),"\right)",")"),"\sqrt{3}","\sqrt3") &amp;
"={{c1::" &amp;
SUBSTITUTE(SUBSTITUTE(cards_master!D15,"$",""),"\sqrt{3}","\sqrt3") &amp;
" }}\)"</f>
        <v>\(\cos(\frac{5\pi}{3})={{c1::\frac{1}{2} }}\)</v>
      </c>
    </row>
    <row r="15" spans="1:3" x14ac:dyDescent="0.2">
      <c r="A15" t="str">
        <f>cards_master!A16</f>
        <v>cos_rad_15</v>
      </c>
      <c r="B15" t="str">
        <f>cards_master!B16</f>
        <v>trig values sin cos radians</v>
      </c>
      <c r="C15" t="str">
        <f>"\(" &amp;
SUBSTITUTE(SUBSTITUTE(SUBSTITUTE(SUBSTITUTE(cards_master!C16,"$",""),"\left(","("),"\right)",")"),"\sqrt{3}","\sqrt3") &amp;
"={{c1::" &amp;
SUBSTITUTE(SUBSTITUTE(cards_master!D16,"$",""),"\sqrt{3}","\sqrt3") &amp;
" }}\)"</f>
        <v>\(\cos(\frac{7\pi}{4})={{c1::\frac{\sqrt2}{2} }}\)</v>
      </c>
    </row>
    <row r="16" spans="1:3" x14ac:dyDescent="0.2">
      <c r="A16" t="str">
        <f>cards_master!A17</f>
        <v>cos_rad_16</v>
      </c>
      <c r="B16" t="str">
        <f>cards_master!B17</f>
        <v>trig values sin cos radians</v>
      </c>
      <c r="C16" t="str">
        <f>"\(" &amp;
SUBSTITUTE(SUBSTITUTE(SUBSTITUTE(SUBSTITUTE(cards_master!C17,"$",""),"\left(","("),"\right)",")"),"\sqrt{3}","\sqrt3") &amp;
"={{c1::" &amp;
SUBSTITUTE(SUBSTITUTE(cards_master!D17,"$",""),"\sqrt{3}","\sqrt3") &amp;
" }}\)"</f>
        <v>\(\cos(\frac{11\pi}{6})={{c1::\frac{\sqrt3}{2} }}\)</v>
      </c>
    </row>
    <row r="17" spans="1:3" x14ac:dyDescent="0.2">
      <c r="A17" t="str">
        <f>cards_master!A18</f>
        <v>cos_rad_17</v>
      </c>
      <c r="B17" t="str">
        <f>cards_master!B18</f>
        <v>trig values sin cos radians</v>
      </c>
      <c r="C17" t="str">
        <f>"\(" &amp;
SUBSTITUTE(SUBSTITUTE(SUBSTITUTE(SUBSTITUTE(cards_master!C18,"$",""),"\left(","("),"\right)",")"),"\sqrt{3}","\sqrt3") &amp;
"={{c1::" &amp;
SUBSTITUTE(SUBSTITUTE(cards_master!D18,"$",""),"\sqrt{3}","\sqrt3") &amp;
" }}\)"</f>
        <v>\(\cos(2\pi)={{c1::1 }}\)</v>
      </c>
    </row>
    <row r="18" spans="1:3" x14ac:dyDescent="0.2">
      <c r="A18" t="str">
        <f>cards_master!A19</f>
        <v>sin_rad_01</v>
      </c>
      <c r="B18" t="str">
        <f>cards_master!B19</f>
        <v>trig values sin cos radians</v>
      </c>
      <c r="C18" t="str">
        <f>"\(" &amp;
SUBSTITUTE(SUBSTITUTE(SUBSTITUTE(SUBSTITUTE(cards_master!C19,"$",""),"\left(","("),"\right)",")"),"\sqrt{3}","\sqrt3") &amp;
"={{c1::" &amp;
SUBSTITUTE(SUBSTITUTE(cards_master!D19,"$",""),"\sqrt{3}","\sqrt3") &amp;
" }}\)"</f>
        <v>\(\sin(0)={{c1::0 }}\)</v>
      </c>
    </row>
    <row r="19" spans="1:3" x14ac:dyDescent="0.2">
      <c r="A19" t="str">
        <f>cards_master!A20</f>
        <v>sin_rad_02</v>
      </c>
      <c r="B19" t="str">
        <f>cards_master!B20</f>
        <v>trig values sin cos radians</v>
      </c>
      <c r="C19" t="str">
        <f>"\(" &amp;
SUBSTITUTE(SUBSTITUTE(SUBSTITUTE(SUBSTITUTE(cards_master!C20,"$",""),"\left(","("),"\right)",")"),"\sqrt{3}","\sqrt3") &amp;
"={{c1::" &amp;
SUBSTITUTE(SUBSTITUTE(cards_master!D20,"$",""),"\sqrt{3}","\sqrt3") &amp;
" }}\)"</f>
        <v>\(\sin(\frac{\pi}{6})={{c1::\frac{1}{2} }}\)</v>
      </c>
    </row>
    <row r="20" spans="1:3" x14ac:dyDescent="0.2">
      <c r="A20" t="str">
        <f>cards_master!A21</f>
        <v>sin_rad_03</v>
      </c>
      <c r="B20" t="str">
        <f>cards_master!B21</f>
        <v>trig values sin cos radians</v>
      </c>
      <c r="C20" t="str">
        <f>"\(" &amp;
SUBSTITUTE(SUBSTITUTE(SUBSTITUTE(SUBSTITUTE(cards_master!C21,"$",""),"\left(","("),"\right)",")"),"\sqrt{3}","\sqrt3") &amp;
"={{c1::" &amp;
SUBSTITUTE(SUBSTITUTE(cards_master!D21,"$",""),"\sqrt{3}","\sqrt3") &amp;
" }}\)"</f>
        <v>\(\sin(\frac{\pi}{4})={{c1::\frac{\sqrt2}{2} }}\)</v>
      </c>
    </row>
    <row r="21" spans="1:3" x14ac:dyDescent="0.2">
      <c r="A21" t="str">
        <f>cards_master!A22</f>
        <v>sin_rad_04</v>
      </c>
      <c r="B21" t="str">
        <f>cards_master!B22</f>
        <v>trig values sin cos radians</v>
      </c>
      <c r="C21" t="str">
        <f>"\(" &amp;
SUBSTITUTE(SUBSTITUTE(SUBSTITUTE(SUBSTITUTE(cards_master!C22,"$",""),"\left(","("),"\right)",")"),"\sqrt{3}","\sqrt3") &amp;
"={{c1::" &amp;
SUBSTITUTE(SUBSTITUTE(cards_master!D22,"$",""),"\sqrt{3}","\sqrt3") &amp;
" }}\)"</f>
        <v>\(\sin(\frac{\pi}{3})={{c1::\frac{\sqrt3}{2} }}\)</v>
      </c>
    </row>
    <row r="22" spans="1:3" x14ac:dyDescent="0.2">
      <c r="A22" t="str">
        <f>cards_master!A23</f>
        <v>sin_rad_05</v>
      </c>
      <c r="B22" t="str">
        <f>cards_master!B23</f>
        <v>trig values sin cos radians</v>
      </c>
      <c r="C22" t="str">
        <f>"\(" &amp;
SUBSTITUTE(SUBSTITUTE(SUBSTITUTE(SUBSTITUTE(cards_master!C23,"$",""),"\left(","("),"\right)",")"),"\sqrt{3}","\sqrt3") &amp;
"={{c1::" &amp;
SUBSTITUTE(SUBSTITUTE(cards_master!D23,"$",""),"\sqrt{3}","\sqrt3") &amp;
" }}\)"</f>
        <v>\(\sin(\frac{\pi}{2})={{c1::1 }}\)</v>
      </c>
    </row>
    <row r="23" spans="1:3" x14ac:dyDescent="0.2">
      <c r="A23" t="str">
        <f>cards_master!A24</f>
        <v>sin_rad_06</v>
      </c>
      <c r="B23" t="str">
        <f>cards_master!B24</f>
        <v>trig values sin cos radians</v>
      </c>
      <c r="C23" t="str">
        <f>"\(" &amp;
SUBSTITUTE(SUBSTITUTE(SUBSTITUTE(SUBSTITUTE(cards_master!C24,"$",""),"\left(","("),"\right)",")"),"\sqrt{3}","\sqrt3") &amp;
"={{c1::" &amp;
SUBSTITUTE(SUBSTITUTE(cards_master!D24,"$",""),"\sqrt{3}","\sqrt3") &amp;
" }}\)"</f>
        <v>\(\sin(\frac{2\pi}{3})={{c1::\frac{\sqrt3}{2} }}\)</v>
      </c>
    </row>
    <row r="24" spans="1:3" x14ac:dyDescent="0.2">
      <c r="A24" t="str">
        <f>cards_master!A25</f>
        <v>sin_rad_07</v>
      </c>
      <c r="B24" t="str">
        <f>cards_master!B25</f>
        <v>trig values sin cos radians</v>
      </c>
      <c r="C24" t="str">
        <f>"\(" &amp;
SUBSTITUTE(SUBSTITUTE(SUBSTITUTE(SUBSTITUTE(cards_master!C25,"$",""),"\left(","("),"\right)",")"),"\sqrt{3}","\sqrt3") &amp;
"={{c1::" &amp;
SUBSTITUTE(SUBSTITUTE(cards_master!D25,"$",""),"\sqrt{3}","\sqrt3") &amp;
" }}\)"</f>
        <v>\(\sin(\frac{3\pi}{4})={{c1::\frac{\sqrt2}{2} }}\)</v>
      </c>
    </row>
    <row r="25" spans="1:3" x14ac:dyDescent="0.2">
      <c r="A25" t="str">
        <f>cards_master!A26</f>
        <v>sin_rad_08</v>
      </c>
      <c r="B25" t="str">
        <f>cards_master!B26</f>
        <v>trig values sin cos radians</v>
      </c>
      <c r="C25" t="str">
        <f>"\(" &amp;
SUBSTITUTE(SUBSTITUTE(SUBSTITUTE(SUBSTITUTE(cards_master!C26,"$",""),"\left(","("),"\right)",")"),"\sqrt{3}","\sqrt3") &amp;
"={{c1::" &amp;
SUBSTITUTE(SUBSTITUTE(cards_master!D26,"$",""),"\sqrt{3}","\sqrt3") &amp;
" }}\)"</f>
        <v>\(\sin(\frac{5\pi}{6})={{c1::\frac{1}{2} }}\)</v>
      </c>
    </row>
    <row r="26" spans="1:3" x14ac:dyDescent="0.2">
      <c r="A26" t="str">
        <f>cards_master!A27</f>
        <v>sin_rad_09</v>
      </c>
      <c r="B26" t="str">
        <f>cards_master!B27</f>
        <v>trig values sin cos radians</v>
      </c>
      <c r="C26" t="str">
        <f>"\(" &amp;
SUBSTITUTE(SUBSTITUTE(SUBSTITUTE(SUBSTITUTE(cards_master!C27,"$",""),"\left(","("),"\right)",")"),"\sqrt{3}","\sqrt3") &amp;
"={{c1::" &amp;
SUBSTITUTE(SUBSTITUTE(cards_master!D27,"$",""),"\sqrt{3}","\sqrt3") &amp;
" }}\)"</f>
        <v>\(\sin(\pi)={{c1::0 }}\)</v>
      </c>
    </row>
    <row r="27" spans="1:3" x14ac:dyDescent="0.2">
      <c r="A27" t="str">
        <f>cards_master!A28</f>
        <v>sin_rad_10</v>
      </c>
      <c r="B27" t="str">
        <f>cards_master!B28</f>
        <v>trig values sin cos radians</v>
      </c>
      <c r="C27" t="str">
        <f>"\(" &amp;
SUBSTITUTE(SUBSTITUTE(SUBSTITUTE(SUBSTITUTE(cards_master!C28,"$",""),"\left(","("),"\right)",")"),"\sqrt{3}","\sqrt3") &amp;
"={{c1::" &amp;
SUBSTITUTE(SUBSTITUTE(cards_master!D28,"$",""),"\sqrt{3}","\sqrt3") &amp;
" }}\)"</f>
        <v>\(\sin(\frac{7\pi}{6})={{c1::-\frac{1}{2} }}\)</v>
      </c>
    </row>
    <row r="28" spans="1:3" x14ac:dyDescent="0.2">
      <c r="A28" t="str">
        <f>cards_master!A29</f>
        <v>sin_rad_11</v>
      </c>
      <c r="B28" t="str">
        <f>cards_master!B29</f>
        <v>trig values sin cos radians</v>
      </c>
      <c r="C28" t="str">
        <f>"\(" &amp;
SUBSTITUTE(SUBSTITUTE(SUBSTITUTE(SUBSTITUTE(cards_master!C29,"$",""),"\left(","("),"\right)",")"),"\sqrt{3}","\sqrt3") &amp;
"={{c1::" &amp;
SUBSTITUTE(SUBSTITUTE(cards_master!D29,"$",""),"\sqrt{3}","\sqrt3") &amp;
" }}\)"</f>
        <v>\(\sin(\frac{5\pi}{4})={{c1::-\frac{\sqrt2}{2} }}\)</v>
      </c>
    </row>
    <row r="29" spans="1:3" x14ac:dyDescent="0.2">
      <c r="A29" t="str">
        <f>cards_master!A30</f>
        <v>sin_rad_12</v>
      </c>
      <c r="B29" t="str">
        <f>cards_master!B30</f>
        <v>trig values sin cos radians</v>
      </c>
      <c r="C29" t="str">
        <f>"\(" &amp;
SUBSTITUTE(SUBSTITUTE(SUBSTITUTE(SUBSTITUTE(cards_master!C30,"$",""),"\left(","("),"\right)",")"),"\sqrt{3}","\sqrt3") &amp;
"={{c1::" &amp;
SUBSTITUTE(SUBSTITUTE(cards_master!D30,"$",""),"\sqrt{3}","\sqrt3") &amp;
" }}\)"</f>
        <v>\(\sin(\frac{4\pi}{3})={{c1::-\frac{\sqrt3}{2} }}\)</v>
      </c>
    </row>
    <row r="30" spans="1:3" x14ac:dyDescent="0.2">
      <c r="A30" t="str">
        <f>cards_master!A31</f>
        <v>sin_rad_13</v>
      </c>
      <c r="B30" t="str">
        <f>cards_master!B31</f>
        <v>trig values sin cos radians</v>
      </c>
      <c r="C30" t="str">
        <f>"\(" &amp;
SUBSTITUTE(SUBSTITUTE(SUBSTITUTE(SUBSTITUTE(cards_master!C31,"$",""),"\left(","("),"\right)",")"),"\sqrt{3}","\sqrt3") &amp;
"={{c1::" &amp;
SUBSTITUTE(SUBSTITUTE(cards_master!D31,"$",""),"\sqrt{3}","\sqrt3") &amp;
" }}\)"</f>
        <v>\(\sin(\frac{3\pi}{2})={{c1::-1 }}\)</v>
      </c>
    </row>
    <row r="31" spans="1:3" x14ac:dyDescent="0.2">
      <c r="A31" t="str">
        <f>cards_master!A32</f>
        <v>sin_rad_14</v>
      </c>
      <c r="B31" t="str">
        <f>cards_master!B32</f>
        <v>trig values sin cos radians</v>
      </c>
      <c r="C31" t="str">
        <f>"\(" &amp;
SUBSTITUTE(SUBSTITUTE(SUBSTITUTE(SUBSTITUTE(cards_master!C32,"$",""),"\left(","("),"\right)",")"),"\sqrt{3}","\sqrt3") &amp;
"={{c1::" &amp;
SUBSTITUTE(SUBSTITUTE(cards_master!D32,"$",""),"\sqrt{3}","\sqrt3") &amp;
" }}\)"</f>
        <v>\(\sin(\frac{5\pi}{3})={{c1::-\frac{\sqrt3}{2} }}\)</v>
      </c>
    </row>
    <row r="32" spans="1:3" x14ac:dyDescent="0.2">
      <c r="A32" t="str">
        <f>cards_master!A33</f>
        <v>sin_rad_15</v>
      </c>
      <c r="B32" t="str">
        <f>cards_master!B33</f>
        <v>trig values sin cos radians</v>
      </c>
      <c r="C32" t="str">
        <f>"\(" &amp;
SUBSTITUTE(SUBSTITUTE(SUBSTITUTE(SUBSTITUTE(cards_master!C33,"$",""),"\left(","("),"\right)",")"),"\sqrt{3}","\sqrt3") &amp;
"={{c1::" &amp;
SUBSTITUTE(SUBSTITUTE(cards_master!D33,"$",""),"\sqrt{3}","\sqrt3") &amp;
" }}\)"</f>
        <v>\(\sin(\frac{7\pi}{4})={{c1::-\frac{\sqrt2}{2} }}\)</v>
      </c>
    </row>
    <row r="33" spans="1:3" x14ac:dyDescent="0.2">
      <c r="A33" t="str">
        <f>cards_master!A34</f>
        <v>sin_rad_16</v>
      </c>
      <c r="B33" t="str">
        <f>cards_master!B34</f>
        <v>trig values sin cos radians</v>
      </c>
      <c r="C33" t="str">
        <f>"\(" &amp;
SUBSTITUTE(SUBSTITUTE(SUBSTITUTE(SUBSTITUTE(cards_master!C34,"$",""),"\left(","("),"\right)",")"),"\sqrt{3}","\sqrt3") &amp;
"={{c1::" &amp;
SUBSTITUTE(SUBSTITUTE(cards_master!D34,"$",""),"\sqrt{3}","\sqrt3") &amp;
" }}\)"</f>
        <v>\(\sin(\frac{11\pi}{6})={{c1::-\frac{1}{2} }}\)</v>
      </c>
    </row>
    <row r="34" spans="1:3" x14ac:dyDescent="0.2">
      <c r="A34" t="str">
        <f>cards_master!A35</f>
        <v>sin_rad_17</v>
      </c>
      <c r="B34" t="str">
        <f>cards_master!B35</f>
        <v>trig values sin cos radians</v>
      </c>
      <c r="C34" t="str">
        <f>"\(" &amp;
SUBSTITUTE(SUBSTITUTE(SUBSTITUTE(SUBSTITUTE(cards_master!C35,"$",""),"\left(","("),"\right)",")"),"\sqrt{3}","\sqrt3") &amp;
"={{c1::" &amp;
SUBSTITUTE(SUBSTITUTE(cards_master!D35,"$",""),"\sqrt{3}","\sqrt3") &amp;
" }}\)"</f>
        <v>\(\sin(2\pi)={{c1::0 }}\)</v>
      </c>
    </row>
    <row r="35" spans="1:3" x14ac:dyDescent="0.2">
      <c r="A35" t="str">
        <f>cards_master!A36</f>
        <v>square_1</v>
      </c>
      <c r="B35" t="str">
        <f>cards_master!B36</f>
        <v>squares and square roots</v>
      </c>
      <c r="C35" t="str">
        <f>"\("&amp;cards_master!C36&amp;"\)"&amp;" = {{c1::"&amp;"\("&amp;cards_master!D36&amp;"\)}}"</f>
        <v>\(1^2\) = {{c1::\(1\)}}</v>
      </c>
    </row>
    <row r="36" spans="1:3" x14ac:dyDescent="0.2">
      <c r="A36" t="str">
        <f>cards_master!A37</f>
        <v>square_2</v>
      </c>
      <c r="B36" t="str">
        <f>cards_master!B37</f>
        <v>squares and square roots</v>
      </c>
      <c r="C36" t="str">
        <f>"\("&amp;cards_master!C37&amp;"\)"&amp;" = {{c1::"&amp;"\("&amp;cards_master!D37&amp;"\)}}"</f>
        <v>\(2^2\) = {{c1::\(4\)}}</v>
      </c>
    </row>
    <row r="37" spans="1:3" x14ac:dyDescent="0.2">
      <c r="A37" t="str">
        <f>cards_master!A38</f>
        <v>square_3</v>
      </c>
      <c r="B37" t="str">
        <f>cards_master!B38</f>
        <v>squares and square roots</v>
      </c>
      <c r="C37" t="str">
        <f>"\("&amp;cards_master!C38&amp;"\)"&amp;" = {{c1::"&amp;"\("&amp;cards_master!D38&amp;"\)}}"</f>
        <v>\(3^2\) = {{c1::\(9\)}}</v>
      </c>
    </row>
    <row r="38" spans="1:3" x14ac:dyDescent="0.2">
      <c r="A38" t="str">
        <f>cards_master!A39</f>
        <v>square_4</v>
      </c>
      <c r="B38" t="str">
        <f>cards_master!B39</f>
        <v>squares and square roots</v>
      </c>
      <c r="C38" t="str">
        <f>"\("&amp;cards_master!C39&amp;"\)"&amp;" = {{c1::"&amp;"\("&amp;cards_master!D39&amp;"\)}}"</f>
        <v>\(4^2\) = {{c1::\(16\)}}</v>
      </c>
    </row>
    <row r="39" spans="1:3" x14ac:dyDescent="0.2">
      <c r="A39" t="str">
        <f>cards_master!A40</f>
        <v>square_5</v>
      </c>
      <c r="B39" t="str">
        <f>cards_master!B40</f>
        <v>squares and square roots</v>
      </c>
      <c r="C39" t="str">
        <f>"\("&amp;cards_master!C40&amp;"\)"&amp;" = {{c1::"&amp;"\("&amp;cards_master!D40&amp;"\)}}"</f>
        <v>\(5^2\) = {{c1::\(25\)}}</v>
      </c>
    </row>
    <row r="40" spans="1:3" x14ac:dyDescent="0.2">
      <c r="A40" t="str">
        <f>cards_master!A41</f>
        <v>square_6</v>
      </c>
      <c r="B40" t="str">
        <f>cards_master!B41</f>
        <v>squares and square roots</v>
      </c>
      <c r="C40" t="str">
        <f>"\("&amp;cards_master!C41&amp;"\)"&amp;" = {{c1::"&amp;"\("&amp;cards_master!D41&amp;"\)}}"</f>
        <v>\(6^2\) = {{c1::\(36\)}}</v>
      </c>
    </row>
    <row r="41" spans="1:3" x14ac:dyDescent="0.2">
      <c r="A41" t="str">
        <f>cards_master!A42</f>
        <v>square_7</v>
      </c>
      <c r="B41" t="str">
        <f>cards_master!B42</f>
        <v>squares and square roots</v>
      </c>
      <c r="C41" t="str">
        <f>"\("&amp;cards_master!C42&amp;"\)"&amp;" = {{c1::"&amp;"\("&amp;cards_master!D42&amp;"\)}}"</f>
        <v>\(7^2\) = {{c1::\(49\)}}</v>
      </c>
    </row>
    <row r="42" spans="1:3" x14ac:dyDescent="0.2">
      <c r="A42" t="str">
        <f>cards_master!A43</f>
        <v>square_8</v>
      </c>
      <c r="B42" t="str">
        <f>cards_master!B43</f>
        <v>squares and square roots</v>
      </c>
      <c r="C42" t="str">
        <f>"\("&amp;cards_master!C43&amp;"\)"&amp;" = {{c1::"&amp;"\("&amp;cards_master!D43&amp;"\)}}"</f>
        <v>\(8^2\) = {{c1::\(64\)}}</v>
      </c>
    </row>
    <row r="43" spans="1:3" x14ac:dyDescent="0.2">
      <c r="A43" t="str">
        <f>cards_master!A44</f>
        <v>square_9</v>
      </c>
      <c r="B43" t="str">
        <f>cards_master!B44</f>
        <v>squares and square roots</v>
      </c>
      <c r="C43" t="str">
        <f>"\("&amp;cards_master!C44&amp;"\)"&amp;" = {{c1::"&amp;"\("&amp;cards_master!D44&amp;"\)}}"</f>
        <v>\(9^2\) = {{c1::\(81\)}}</v>
      </c>
    </row>
    <row r="44" spans="1:3" x14ac:dyDescent="0.2">
      <c r="A44" t="str">
        <f>cards_master!A45</f>
        <v>square_10</v>
      </c>
      <c r="B44" t="str">
        <f>cards_master!B45</f>
        <v>squares and square roots</v>
      </c>
      <c r="C44" t="str">
        <f>"\("&amp;cards_master!C45&amp;"\)"&amp;" = {{c1::"&amp;"\("&amp;cards_master!D45&amp;"\)}}"</f>
        <v>\(10^2\) = {{c1::\(100\)}}</v>
      </c>
    </row>
    <row r="45" spans="1:3" x14ac:dyDescent="0.2">
      <c r="A45" t="str">
        <f>cards_master!A46</f>
        <v>square_11</v>
      </c>
      <c r="B45" t="str">
        <f>cards_master!B46</f>
        <v>squares and square roots</v>
      </c>
      <c r="C45" t="str">
        <f>"\("&amp;cards_master!C46&amp;"\)"&amp;" = {{c1::"&amp;"\("&amp;cards_master!D46&amp;"\)}}"</f>
        <v>\(11^2\) = {{c1::\(121\)}}</v>
      </c>
    </row>
    <row r="46" spans="1:3" x14ac:dyDescent="0.2">
      <c r="A46" t="str">
        <f>cards_master!A47</f>
        <v>square_12</v>
      </c>
      <c r="B46" t="str">
        <f>cards_master!B47</f>
        <v>squares and square roots</v>
      </c>
      <c r="C46" t="str">
        <f>"\("&amp;cards_master!C47&amp;"\)"&amp;" = {{c1::"&amp;"\("&amp;cards_master!D47&amp;"\)}}"</f>
        <v>\(12^2\) = {{c1::\(144\)}}</v>
      </c>
    </row>
    <row r="47" spans="1:3" x14ac:dyDescent="0.2">
      <c r="A47" t="str">
        <f>cards_master!A48</f>
        <v>square_13</v>
      </c>
      <c r="B47" t="str">
        <f>cards_master!B48</f>
        <v>squares and square roots</v>
      </c>
      <c r="C47" t="str">
        <f>"\("&amp;cards_master!C48&amp;"\)"&amp;" = {{c1::"&amp;"\("&amp;cards_master!D48&amp;"\)}}"</f>
        <v>\(13^2\) = {{c1::\(169\)}}</v>
      </c>
    </row>
    <row r="48" spans="1:3" x14ac:dyDescent="0.2">
      <c r="A48" t="str">
        <f>cards_master!A49</f>
        <v>square_14</v>
      </c>
      <c r="B48" t="str">
        <f>cards_master!B49</f>
        <v>squares and square roots</v>
      </c>
      <c r="C48" t="str">
        <f>"\("&amp;cards_master!C49&amp;"\)"&amp;" = {{c1::"&amp;"\("&amp;cards_master!D49&amp;"\)}}"</f>
        <v>\(14^2\) = {{c1::\(196\)}}</v>
      </c>
    </row>
    <row r="49" spans="1:3" x14ac:dyDescent="0.2">
      <c r="A49" t="str">
        <f>cards_master!A50</f>
        <v>square_15</v>
      </c>
      <c r="B49" t="str">
        <f>cards_master!B50</f>
        <v>squares and square roots</v>
      </c>
      <c r="C49" t="str">
        <f>"\("&amp;cards_master!C50&amp;"\)"&amp;" = {{c1::"&amp;"\("&amp;cards_master!D50&amp;"\)}}"</f>
        <v>\(15^2\) = {{c1::\(225\)}}</v>
      </c>
    </row>
    <row r="50" spans="1:3" x14ac:dyDescent="0.2">
      <c r="A50" t="str">
        <f>cards_master!A51</f>
        <v>square_16</v>
      </c>
      <c r="B50" t="str">
        <f>cards_master!B51</f>
        <v>squares and square roots</v>
      </c>
      <c r="C50" t="str">
        <f>"\("&amp;cards_master!C51&amp;"\)"&amp;" = {{c1::"&amp;"\("&amp;cards_master!D51&amp;"\)}}"</f>
        <v>\(16^2\) = {{c1::\(256\)}}</v>
      </c>
    </row>
    <row r="51" spans="1:3" x14ac:dyDescent="0.2">
      <c r="A51" t="str">
        <f>cards_master!A52</f>
        <v>square_17</v>
      </c>
      <c r="B51" t="str">
        <f>cards_master!B52</f>
        <v>squares and square roots</v>
      </c>
      <c r="C51" t="str">
        <f>"\("&amp;cards_master!C52&amp;"\)"&amp;" = {{c1::"&amp;"\("&amp;cards_master!D52&amp;"\)}}"</f>
        <v>\(17^2\) = {{c1::\(289\)}}</v>
      </c>
    </row>
    <row r="52" spans="1:3" x14ac:dyDescent="0.2">
      <c r="A52" t="str">
        <f>cards_master!A53</f>
        <v>square_18</v>
      </c>
      <c r="B52" t="str">
        <f>cards_master!B53</f>
        <v>squares and square roots</v>
      </c>
      <c r="C52" t="str">
        <f>"\("&amp;cards_master!C53&amp;"\)"&amp;" = {{c1::"&amp;"\("&amp;cards_master!D53&amp;"\)}}"</f>
        <v>\(18^2\) = {{c1::\(324\)}}</v>
      </c>
    </row>
    <row r="53" spans="1:3" x14ac:dyDescent="0.2">
      <c r="A53" t="str">
        <f>cards_master!A54</f>
        <v>square_19</v>
      </c>
      <c r="B53" t="str">
        <f>cards_master!B54</f>
        <v>squares and square roots</v>
      </c>
      <c r="C53" t="str">
        <f>"\("&amp;cards_master!C54&amp;"\)"&amp;" = {{c1::"&amp;"\("&amp;cards_master!D54&amp;"\)}}"</f>
        <v>\(19^2\) = {{c1::\(361\)}}</v>
      </c>
    </row>
    <row r="54" spans="1:3" x14ac:dyDescent="0.2">
      <c r="A54" t="str">
        <f>cards_master!A55</f>
        <v>square_20</v>
      </c>
      <c r="B54" t="str">
        <f>cards_master!B55</f>
        <v>squares and square roots</v>
      </c>
      <c r="C54" t="str">
        <f>"\("&amp;cards_master!C55&amp;"\)"&amp;" = {{c1::"&amp;"\("&amp;cards_master!D55&amp;"\)}}"</f>
        <v>\(20^2\) = {{c1::\(400\)}}</v>
      </c>
    </row>
    <row r="55" spans="1:3" x14ac:dyDescent="0.2">
      <c r="A55" t="str">
        <f>cards_master!A56</f>
        <v>sqrt_1</v>
      </c>
      <c r="B55" t="str">
        <f>cards_master!B56</f>
        <v>squares and square roots</v>
      </c>
      <c r="C55" t="str">
        <f>"\("&amp;cards_master!C56&amp;"\)"&amp;" = {{c1::"&amp;"\("&amp;cards_master!D56&amp;"\)}}"</f>
        <v>\(sqrt(1)\) = {{c1::\(1\)}}</v>
      </c>
    </row>
    <row r="56" spans="1:3" x14ac:dyDescent="0.2">
      <c r="A56" t="str">
        <f>cards_master!A57</f>
        <v>sqrt_2</v>
      </c>
      <c r="B56" t="str">
        <f>cards_master!B57</f>
        <v>squares and square roots</v>
      </c>
      <c r="C56" t="str">
        <f>"\("&amp;cards_master!C57&amp;"\)"&amp;" = {{c1::"&amp;"\("&amp;cards_master!D57&amp;"\)}}"</f>
        <v>\(sqrt(4)\) = {{c1::\(2\)}}</v>
      </c>
    </row>
    <row r="57" spans="1:3" x14ac:dyDescent="0.2">
      <c r="A57" t="str">
        <f>cards_master!A58</f>
        <v>sqrt_3</v>
      </c>
      <c r="B57" t="str">
        <f>cards_master!B58</f>
        <v>squares and square roots</v>
      </c>
      <c r="C57" t="str">
        <f>"\("&amp;cards_master!C58&amp;"\)"&amp;" = {{c1::"&amp;"\("&amp;cards_master!D58&amp;"\)}}"</f>
        <v>\(sqrt(9)\) = {{c1::\(3\)}}</v>
      </c>
    </row>
    <row r="58" spans="1:3" x14ac:dyDescent="0.2">
      <c r="A58" t="str">
        <f>cards_master!A59</f>
        <v>sqrt_4</v>
      </c>
      <c r="B58" t="str">
        <f>cards_master!B59</f>
        <v>squares and square roots</v>
      </c>
      <c r="C58" t="str">
        <f>"\("&amp;cards_master!C59&amp;"\)"&amp;" = {{c1::"&amp;"\("&amp;cards_master!D59&amp;"\)}}"</f>
        <v>\(sqrt(16)\) = {{c1::\(4\)}}</v>
      </c>
    </row>
    <row r="59" spans="1:3" x14ac:dyDescent="0.2">
      <c r="A59" t="str">
        <f>cards_master!A60</f>
        <v>sqrt_5</v>
      </c>
      <c r="B59" t="str">
        <f>cards_master!B60</f>
        <v>squares and square roots</v>
      </c>
      <c r="C59" t="str">
        <f>"\("&amp;cards_master!C60&amp;"\)"&amp;" = {{c1::"&amp;"\("&amp;cards_master!D60&amp;"\)}}"</f>
        <v>\(sqrt(25)\) = {{c1::\(5\)}}</v>
      </c>
    </row>
    <row r="60" spans="1:3" x14ac:dyDescent="0.2">
      <c r="A60" t="str">
        <f>cards_master!A61</f>
        <v>sqrt_6</v>
      </c>
      <c r="B60" t="str">
        <f>cards_master!B61</f>
        <v>squares and square roots</v>
      </c>
      <c r="C60" t="str">
        <f>"\("&amp;cards_master!C61&amp;"\)"&amp;" = {{c1::"&amp;"\("&amp;cards_master!D61&amp;"\)}}"</f>
        <v>\(sqrt(36)\) = {{c1::\(6\)}}</v>
      </c>
    </row>
    <row r="61" spans="1:3" x14ac:dyDescent="0.2">
      <c r="A61" t="str">
        <f>cards_master!A62</f>
        <v>sqrt_7</v>
      </c>
      <c r="B61" t="str">
        <f>cards_master!B62</f>
        <v>squares and square roots</v>
      </c>
      <c r="C61" t="str">
        <f>"\("&amp;cards_master!C62&amp;"\)"&amp;" = {{c1::"&amp;"\("&amp;cards_master!D62&amp;"\)}}"</f>
        <v>\(sqrt(49)\) = {{c1::\(7\)}}</v>
      </c>
    </row>
    <row r="62" spans="1:3" x14ac:dyDescent="0.2">
      <c r="A62" t="str">
        <f>cards_master!A63</f>
        <v>sqrt_8</v>
      </c>
      <c r="B62" t="str">
        <f>cards_master!B63</f>
        <v>squares and square roots</v>
      </c>
      <c r="C62" t="str">
        <f>"\("&amp;cards_master!C63&amp;"\)"&amp;" = {{c1::"&amp;"\("&amp;cards_master!D63&amp;"\)}}"</f>
        <v>\(sqrt(64)\) = {{c1::\(8\)}}</v>
      </c>
    </row>
    <row r="63" spans="1:3" x14ac:dyDescent="0.2">
      <c r="A63" t="str">
        <f>cards_master!A64</f>
        <v>sqrt_9</v>
      </c>
      <c r="B63" t="str">
        <f>cards_master!B64</f>
        <v>squares and square roots</v>
      </c>
      <c r="C63" t="str">
        <f>"\("&amp;cards_master!C64&amp;"\)"&amp;" = {{c1::"&amp;"\("&amp;cards_master!D64&amp;"\)}}"</f>
        <v>\(sqrt(81)\) = {{c1::\(9\)}}</v>
      </c>
    </row>
    <row r="64" spans="1:3" x14ac:dyDescent="0.2">
      <c r="A64" t="str">
        <f>cards_master!A65</f>
        <v>sqrt_10</v>
      </c>
      <c r="B64" t="str">
        <f>cards_master!B65</f>
        <v>squares and square roots</v>
      </c>
      <c r="C64" t="str">
        <f>"\("&amp;cards_master!C65&amp;"\)"&amp;" = {{c1::"&amp;"\("&amp;cards_master!D65&amp;"\)}}"</f>
        <v>\(sqrt(100)\) = {{c1::\(10\)}}</v>
      </c>
    </row>
    <row r="65" spans="1:3" x14ac:dyDescent="0.2">
      <c r="A65" t="str">
        <f>cards_master!A66</f>
        <v>sqrt_11</v>
      </c>
      <c r="B65" t="str">
        <f>cards_master!B66</f>
        <v>squares and square roots</v>
      </c>
      <c r="C65" t="str">
        <f>"\("&amp;cards_master!C66&amp;"\)"&amp;" = {{c1::"&amp;"\("&amp;cards_master!D66&amp;"\)}}"</f>
        <v>\(sqrt(121)\) = {{c1::\(11\)}}</v>
      </c>
    </row>
    <row r="66" spans="1:3" x14ac:dyDescent="0.2">
      <c r="A66" t="str">
        <f>cards_master!A67</f>
        <v>sqrt_12</v>
      </c>
      <c r="B66" t="str">
        <f>cards_master!B67</f>
        <v>squares and square roots</v>
      </c>
      <c r="C66" t="str">
        <f>"\("&amp;cards_master!C67&amp;"\)"&amp;" = {{c1::"&amp;"\("&amp;cards_master!D67&amp;"\)}}"</f>
        <v>\(sqrt(144)\) = {{c1::\(12\)}}</v>
      </c>
    </row>
    <row r="67" spans="1:3" x14ac:dyDescent="0.2">
      <c r="A67" t="str">
        <f>cards_master!A68</f>
        <v>sqrt_13</v>
      </c>
      <c r="B67" t="str">
        <f>cards_master!B68</f>
        <v>squares and square roots</v>
      </c>
      <c r="C67" t="str">
        <f>"\("&amp;cards_master!C68&amp;"\)"&amp;" = {{c1::"&amp;"\("&amp;cards_master!D68&amp;"\)}}"</f>
        <v>\(sqrt(169)\) = {{c1::\(13\)}}</v>
      </c>
    </row>
    <row r="68" spans="1:3" x14ac:dyDescent="0.2">
      <c r="A68" t="str">
        <f>cards_master!A69</f>
        <v>sqrt_14</v>
      </c>
      <c r="B68" t="str">
        <f>cards_master!B69</f>
        <v>squares and square roots</v>
      </c>
      <c r="C68" t="str">
        <f>"\("&amp;cards_master!C69&amp;"\)"&amp;" = {{c1::"&amp;"\("&amp;cards_master!D69&amp;"\)}}"</f>
        <v>\(sqrt(196)\) = {{c1::\(14\)}}</v>
      </c>
    </row>
    <row r="69" spans="1:3" x14ac:dyDescent="0.2">
      <c r="A69" t="str">
        <f>cards_master!A70</f>
        <v>sqrt_15</v>
      </c>
      <c r="B69" t="str">
        <f>cards_master!B70</f>
        <v>squares and square roots</v>
      </c>
      <c r="C69" t="str">
        <f>"\("&amp;cards_master!C70&amp;"\)"&amp;" = {{c1::"&amp;"\("&amp;cards_master!D70&amp;"\)}}"</f>
        <v>\(sqrt(225)\) = {{c1::\(15\)}}</v>
      </c>
    </row>
    <row r="70" spans="1:3" x14ac:dyDescent="0.2">
      <c r="A70" t="str">
        <f>cards_master!A71</f>
        <v>sqrt_16</v>
      </c>
      <c r="B70" t="str">
        <f>cards_master!B71</f>
        <v>squares and square roots</v>
      </c>
      <c r="C70" t="str">
        <f>"\("&amp;cards_master!C71&amp;"\)"&amp;" = {{c1::"&amp;"\("&amp;cards_master!D71&amp;"\)}}"</f>
        <v>\(sqrt(256)\) = {{c1::\(16\)}}</v>
      </c>
    </row>
    <row r="71" spans="1:3" x14ac:dyDescent="0.2">
      <c r="A71" t="str">
        <f>cards_master!A72</f>
        <v>sqrt_17</v>
      </c>
      <c r="B71" t="str">
        <f>cards_master!B72</f>
        <v>squares and square roots</v>
      </c>
      <c r="C71" t="str">
        <f>"\("&amp;cards_master!C72&amp;"\)"&amp;" = {{c1::"&amp;"\("&amp;cards_master!D72&amp;"\)}}"</f>
        <v>\(sqrt(289)\) = {{c1::\(17\)}}</v>
      </c>
    </row>
    <row r="72" spans="1:3" x14ac:dyDescent="0.2">
      <c r="A72" t="str">
        <f>cards_master!A73</f>
        <v>sqrt_18</v>
      </c>
      <c r="B72" t="str">
        <f>cards_master!B73</f>
        <v>squares and square roots</v>
      </c>
      <c r="C72" t="str">
        <f>"\("&amp;cards_master!C73&amp;"\)"&amp;" = {{c1::"&amp;"\("&amp;cards_master!D73&amp;"\)}}"</f>
        <v>\(sqrt(324)\) = {{c1::\(18\)}}</v>
      </c>
    </row>
    <row r="73" spans="1:3" x14ac:dyDescent="0.2">
      <c r="A73" t="str">
        <f>cards_master!A74</f>
        <v>sqrt_19</v>
      </c>
      <c r="B73" t="str">
        <f>cards_master!B74</f>
        <v>squares and square roots</v>
      </c>
      <c r="C73" t="str">
        <f>"\("&amp;cards_master!C74&amp;"\)"&amp;" = {{c1::"&amp;"\("&amp;cards_master!D74&amp;"\)}}"</f>
        <v>\(sqrt(361)\) = {{c1::\(19\)}}</v>
      </c>
    </row>
    <row r="74" spans="1:3" x14ac:dyDescent="0.2">
      <c r="A74" t="str">
        <f>cards_master!A75</f>
        <v>sqrt_20</v>
      </c>
      <c r="B74" t="str">
        <f>cards_master!B75</f>
        <v>squares and square roots</v>
      </c>
      <c r="C74" t="str">
        <f>"\("&amp;cards_master!C75&amp;"\)"&amp;" = {{c1::"&amp;"\("&amp;cards_master!D75&amp;"\)}}"</f>
        <v>\(sqrt(400)\) = {{c1::\(20\)}}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A60E6-D3E8-4544-887C-6E931803436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A34D1-7333-164B-A084-2BA53F3B571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E6229-89EC-484C-B2E4-FE3173417D9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cards_master</vt:lpstr>
      <vt:lpstr>export</vt:lpstr>
      <vt:lpstr>anki</vt:lpstr>
      <vt:lpstr>blooket</vt:lpstr>
      <vt:lpstr>quizlet</vt:lpstr>
      <vt:lpstr>gimkit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Sindel</dc:creator>
  <cp:lastModifiedBy>Andrew Sindel</cp:lastModifiedBy>
  <dcterms:created xsi:type="dcterms:W3CDTF">2026-03-07T02:04:21Z</dcterms:created>
  <dcterms:modified xsi:type="dcterms:W3CDTF">2026-03-10T22:19:33Z</dcterms:modified>
</cp:coreProperties>
</file>